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mc:AlternateContent xmlns:mc="http://schemas.openxmlformats.org/markup-compatibility/2006">
    <mc:Choice Requires="x15">
      <x15ac:absPath xmlns:x15ac="http://schemas.microsoft.com/office/spreadsheetml/2010/11/ac" url="https://txst-my.sharepoint.com/personal/uuk22_txstate_edu/Documents/"/>
    </mc:Choice>
  </mc:AlternateContent>
  <xr:revisionPtr revIDLastSave="0" documentId="8_{449592BE-A21B-4AA0-A128-AD6FC1CE7BF3}" xr6:coauthVersionLast="47" xr6:coauthVersionMax="47" xr10:uidLastSave="{00000000-0000-0000-0000-000000000000}"/>
  <bookViews>
    <workbookView xWindow="-108" yWindow="-108" windowWidth="23256" windowHeight="12456" xr2:uid="{2212EFBA-F459-49CF-ACDA-6F3B30B29101}"/>
  </bookViews>
  <sheets>
    <sheet name="DCF" sheetId="1" r:id="rId1"/>
    <sheet name="Income Statement" sheetId="5" r:id="rId2"/>
    <sheet name="Balance Sheet" sheetId="6" r:id="rId3"/>
    <sheet name="Statement of Cash Flows" sheetId="7" r:id="rId4"/>
    <sheet name="WACC Calculation" sheetId="2" r:id="rId5"/>
    <sheet name="Firm Returns " sheetId="3" r:id="rId6"/>
    <sheet name="Market Returns" sheetId="4" r:id="rId7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DCF!$H$7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I56" i="1"/>
  <c r="J50" i="1" l="1"/>
  <c r="N6" i="3" l="1"/>
  <c r="L6" i="3" s="1"/>
  <c r="I55" i="1" l="1"/>
  <c r="I51" i="1"/>
  <c r="H13" i="1"/>
  <c r="P6" i="3"/>
  <c r="E26" i="1"/>
  <c r="F26" i="1"/>
  <c r="G26" i="1"/>
  <c r="H26" i="1"/>
  <c r="F23" i="1"/>
  <c r="L9" i="4"/>
  <c r="P9" i="4"/>
  <c r="N9" i="4"/>
  <c r="D22" i="1" l="1"/>
  <c r="E22" i="1"/>
  <c r="F22" i="1"/>
  <c r="G22" i="1"/>
  <c r="H22" i="1"/>
  <c r="B92" i="1"/>
  <c r="H504" i="4" l="1"/>
  <c r="H505" i="4"/>
  <c r="H504" i="3"/>
  <c r="H505" i="3"/>
  <c r="R50" i="1" l="1"/>
  <c r="R52" i="1"/>
  <c r="P62" i="1"/>
  <c r="Q62" i="1" s="1"/>
  <c r="R62" i="1" s="1"/>
  <c r="R75" i="1"/>
  <c r="D28" i="1" l="1"/>
  <c r="E28" i="1"/>
  <c r="D29" i="1"/>
  <c r="F28" i="1"/>
  <c r="G28" i="1"/>
  <c r="H28" i="1"/>
  <c r="D30" i="1" l="1"/>
  <c r="E25" i="1"/>
  <c r="F25" i="1"/>
  <c r="G25" i="1"/>
  <c r="G29" i="1" s="1"/>
  <c r="H25" i="1"/>
  <c r="D25" i="1"/>
  <c r="G48" i="1"/>
  <c r="H23" i="1" l="1"/>
  <c r="H48" i="1"/>
  <c r="F48" i="1"/>
  <c r="G23" i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C36" i="6" l="1"/>
  <c r="D36" i="6"/>
  <c r="E36" i="6"/>
  <c r="F36" i="6"/>
  <c r="C29" i="6"/>
  <c r="D29" i="6"/>
  <c r="E29" i="6"/>
  <c r="E47" i="6" s="1"/>
  <c r="F29" i="6"/>
  <c r="B29" i="6"/>
  <c r="B36" i="6" s="1"/>
  <c r="B47" i="6" s="1"/>
  <c r="C17" i="6"/>
  <c r="D17" i="6"/>
  <c r="E17" i="6"/>
  <c r="F17" i="6"/>
  <c r="B17" i="6"/>
  <c r="D51" i="6"/>
  <c r="E51" i="6"/>
  <c r="F51" i="6"/>
  <c r="C51" i="6"/>
  <c r="C47" i="6"/>
  <c r="D47" i="6"/>
  <c r="C10" i="6"/>
  <c r="D10" i="6"/>
  <c r="E10" i="6"/>
  <c r="F10" i="6"/>
  <c r="B10" i="6"/>
  <c r="D60" i="1"/>
  <c r="F60" i="1"/>
  <c r="G60" i="1"/>
  <c r="H60" i="1"/>
  <c r="E60" i="1"/>
  <c r="F54" i="1"/>
  <c r="H29" i="1"/>
  <c r="E29" i="1"/>
  <c r="K10" i="2"/>
  <c r="K27" i="2" s="1"/>
  <c r="B91" i="1"/>
  <c r="D38" i="1"/>
  <c r="D74" i="1" s="1"/>
  <c r="D80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I62" i="1"/>
  <c r="J62" i="1"/>
  <c r="I58" i="1"/>
  <c r="J58" i="1" s="1"/>
  <c r="K58" i="1" s="1"/>
  <c r="L58" i="1" s="1"/>
  <c r="M58" i="1" s="1"/>
  <c r="N58" i="1" s="1"/>
  <c r="O58" i="1" s="1"/>
  <c r="P58" i="1" s="1"/>
  <c r="Q58" i="1" s="1"/>
  <c r="R58" i="1" s="1"/>
  <c r="J56" i="1"/>
  <c r="E34" i="1"/>
  <c r="F34" i="1"/>
  <c r="G34" i="1"/>
  <c r="G68" i="1" s="1"/>
  <c r="H34" i="1"/>
  <c r="H68" i="1" s="1"/>
  <c r="D34" i="1"/>
  <c r="D68" i="1" s="1"/>
  <c r="D48" i="1"/>
  <c r="G49" i="1" l="1"/>
  <c r="D52" i="6"/>
  <c r="F41" i="1" s="1"/>
  <c r="C52" i="6"/>
  <c r="E41" i="1" s="1"/>
  <c r="F42" i="1" s="1"/>
  <c r="F80" i="1" s="1"/>
  <c r="B52" i="6"/>
  <c r="D41" i="1" s="1"/>
  <c r="H38" i="1"/>
  <c r="H74" i="1" s="1"/>
  <c r="F47" i="6"/>
  <c r="F52" i="6"/>
  <c r="H41" i="1" s="1"/>
  <c r="E52" i="6"/>
  <c r="G41" i="1" s="1"/>
  <c r="G38" i="1"/>
  <c r="G74" i="1" s="1"/>
  <c r="F38" i="1"/>
  <c r="F74" i="1" s="1"/>
  <c r="E38" i="1"/>
  <c r="E74" i="1" s="1"/>
  <c r="D26" i="1"/>
  <c r="D55" i="1" s="1"/>
  <c r="K56" i="1"/>
  <c r="F68" i="1"/>
  <c r="E68" i="1"/>
  <c r="K62" i="1"/>
  <c r="F29" i="1"/>
  <c r="G54" i="1"/>
  <c r="E54" i="1"/>
  <c r="D54" i="1"/>
  <c r="H54" i="1"/>
  <c r="H35" i="1"/>
  <c r="H69" i="1" s="1"/>
  <c r="H55" i="1"/>
  <c r="G55" i="1"/>
  <c r="D35" i="1"/>
  <c r="D69" i="1" s="1"/>
  <c r="G35" i="1"/>
  <c r="G69" i="1" s="1"/>
  <c r="H30" i="1"/>
  <c r="H61" i="1" s="1"/>
  <c r="G30" i="1"/>
  <c r="G61" i="1" s="1"/>
  <c r="F30" i="1"/>
  <c r="F61" i="1" s="1"/>
  <c r="D39" i="1"/>
  <c r="D75" i="1" s="1"/>
  <c r="F35" i="1"/>
  <c r="F69" i="1" s="1"/>
  <c r="E30" i="1"/>
  <c r="E61" i="1" s="1"/>
  <c r="F55" i="1"/>
  <c r="D61" i="1" l="1"/>
  <c r="I63" i="1"/>
  <c r="E42" i="1"/>
  <c r="E80" i="1" s="1"/>
  <c r="H36" i="1"/>
  <c r="H39" i="1"/>
  <c r="H75" i="1" s="1"/>
  <c r="G36" i="1"/>
  <c r="G39" i="1"/>
  <c r="G75" i="1" s="1"/>
  <c r="H42" i="1"/>
  <c r="H43" i="1" s="1"/>
  <c r="H81" i="1" s="1"/>
  <c r="G42" i="1"/>
  <c r="F43" i="1"/>
  <c r="F81" i="1" s="1"/>
  <c r="F36" i="1"/>
  <c r="F39" i="1"/>
  <c r="F75" i="1" s="1"/>
  <c r="E36" i="1"/>
  <c r="L56" i="1"/>
  <c r="L62" i="1"/>
  <c r="H49" i="1"/>
  <c r="I50" i="1"/>
  <c r="H80" i="1" l="1"/>
  <c r="H44" i="1"/>
  <c r="G80" i="1"/>
  <c r="G44" i="1"/>
  <c r="G43" i="1"/>
  <c r="J63" i="1"/>
  <c r="M56" i="1"/>
  <c r="M62" i="1"/>
  <c r="G81" i="1" l="1"/>
  <c r="I83" i="1"/>
  <c r="K63" i="1"/>
  <c r="N56" i="1"/>
  <c r="N62" i="1"/>
  <c r="L63" i="1" l="1"/>
  <c r="O56" i="1"/>
  <c r="P56" i="1" s="1"/>
  <c r="Q56" i="1" s="1"/>
  <c r="R56" i="1" s="1"/>
  <c r="O62" i="1"/>
  <c r="H2" i="4"/>
  <c r="H2" i="3"/>
  <c r="M63" i="1" l="1"/>
  <c r="N63" i="1" l="1"/>
  <c r="O63" i="1" l="1"/>
  <c r="P63" i="1" s="1"/>
  <c r="P61" i="1" l="1"/>
  <c r="Q63" i="1"/>
  <c r="E23" i="1"/>
  <c r="S2" i="1" s="1"/>
  <c r="R63" i="1" l="1"/>
  <c r="R61" i="1" s="1"/>
  <c r="Q61" i="1"/>
  <c r="E49" i="1"/>
  <c r="F44" i="1"/>
  <c r="E43" i="1"/>
  <c r="E48" i="1"/>
  <c r="F49" i="1"/>
  <c r="E44" i="1"/>
  <c r="E39" i="1"/>
  <c r="E75" i="1" s="1"/>
  <c r="H12" i="1" s="1"/>
  <c r="E35" i="1"/>
  <c r="E69" i="1" s="1"/>
  <c r="H11" i="1" s="1"/>
  <c r="I71" i="1" s="1"/>
  <c r="J71" i="1" l="1"/>
  <c r="K71" i="1" s="1"/>
  <c r="L71" i="1" s="1"/>
  <c r="M71" i="1" s="1"/>
  <c r="N71" i="1" s="1"/>
  <c r="O71" i="1" s="1"/>
  <c r="P71" i="1" s="1"/>
  <c r="F11" i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J11" i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I52" i="1"/>
  <c r="I77" i="1"/>
  <c r="J77" i="1" s="1"/>
  <c r="K77" i="1" s="1"/>
  <c r="L77" i="1" s="1"/>
  <c r="M77" i="1" s="1"/>
  <c r="N77" i="1" s="1"/>
  <c r="O77" i="1" s="1"/>
  <c r="P77" i="1" s="1"/>
  <c r="F12" i="1"/>
  <c r="I76" i="1" s="1"/>
  <c r="J76" i="1" s="1"/>
  <c r="K76" i="1" s="1"/>
  <c r="L76" i="1" s="1"/>
  <c r="M76" i="1" s="1"/>
  <c r="N76" i="1" s="1"/>
  <c r="O76" i="1" s="1"/>
  <c r="P76" i="1" s="1"/>
  <c r="Q76" i="1" s="1"/>
  <c r="J12" i="1"/>
  <c r="I78" i="1" s="1"/>
  <c r="J78" i="1" s="1"/>
  <c r="K78" i="1" s="1"/>
  <c r="L78" i="1" s="1"/>
  <c r="M78" i="1" s="1"/>
  <c r="N78" i="1" s="1"/>
  <c r="O78" i="1" s="1"/>
  <c r="P78" i="1" s="1"/>
  <c r="Q78" i="1" s="1"/>
  <c r="E81" i="1"/>
  <c r="S21" i="1"/>
  <c r="E55" i="1"/>
  <c r="H9" i="1"/>
  <c r="I57" i="1" s="1"/>
  <c r="P69" i="1" l="1"/>
  <c r="Q71" i="1"/>
  <c r="J52" i="1"/>
  <c r="Q77" i="1"/>
  <c r="Q75" i="1" s="1"/>
  <c r="P75" i="1"/>
  <c r="J57" i="1"/>
  <c r="F13" i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J13" i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Q69" i="1" l="1"/>
  <c r="R71" i="1"/>
  <c r="R69" i="1" s="1"/>
  <c r="J83" i="1"/>
  <c r="K57" i="1"/>
  <c r="L57" i="1" l="1"/>
  <c r="K83" i="1"/>
  <c r="L83" i="1" l="1"/>
  <c r="M57" i="1"/>
  <c r="N57" i="1" l="1"/>
  <c r="M83" i="1"/>
  <c r="O57" i="1" l="1"/>
  <c r="P57" i="1" s="1"/>
  <c r="N83" i="1"/>
  <c r="Q57" i="1" l="1"/>
  <c r="P55" i="1"/>
  <c r="O83" i="1"/>
  <c r="P83" i="1" s="1"/>
  <c r="Q83" i="1" l="1"/>
  <c r="P81" i="1"/>
  <c r="R57" i="1"/>
  <c r="R55" i="1" s="1"/>
  <c r="Q55" i="1"/>
  <c r="J55" i="1"/>
  <c r="K55" i="1"/>
  <c r="L55" i="1"/>
  <c r="M55" i="1"/>
  <c r="N55" i="1"/>
  <c r="O55" i="1"/>
  <c r="I61" i="1"/>
  <c r="J61" i="1"/>
  <c r="K61" i="1"/>
  <c r="L61" i="1"/>
  <c r="M61" i="1"/>
  <c r="N61" i="1"/>
  <c r="O61" i="1"/>
  <c r="I69" i="1"/>
  <c r="J69" i="1"/>
  <c r="K69" i="1"/>
  <c r="L69" i="1"/>
  <c r="M69" i="1"/>
  <c r="N69" i="1"/>
  <c r="O69" i="1"/>
  <c r="I75" i="1"/>
  <c r="J75" i="1"/>
  <c r="K75" i="1"/>
  <c r="L75" i="1"/>
  <c r="M75" i="1"/>
  <c r="N75" i="1"/>
  <c r="O75" i="1"/>
  <c r="I81" i="1"/>
  <c r="J81" i="1"/>
  <c r="K81" i="1"/>
  <c r="L81" i="1"/>
  <c r="M81" i="1"/>
  <c r="N81" i="1"/>
  <c r="O81" i="1"/>
  <c r="R83" i="1" l="1"/>
  <c r="R81" i="1" s="1"/>
  <c r="Q81" i="1"/>
  <c r="K50" i="1" l="1"/>
  <c r="L50" i="1" s="1"/>
  <c r="M50" i="1" s="1"/>
  <c r="N50" i="1" s="1"/>
  <c r="O50" i="1" s="1"/>
  <c r="P50" i="1" s="1"/>
  <c r="Q50" i="1" s="1"/>
  <c r="K52" i="1"/>
  <c r="L52" i="1" l="1"/>
  <c r="M52" i="1" l="1"/>
  <c r="N52" i="1" l="1"/>
  <c r="O52" i="1" l="1"/>
  <c r="P52" i="1" l="1"/>
  <c r="Q52" i="1" l="1"/>
  <c r="I49" i="1" l="1"/>
  <c r="I48" i="1" s="1"/>
  <c r="I80" i="1" l="1"/>
  <c r="I54" i="1"/>
  <c r="I60" i="1" s="1"/>
  <c r="I66" i="1" s="1"/>
  <c r="I74" i="1"/>
  <c r="I68" i="1"/>
  <c r="I86" i="1" l="1"/>
  <c r="I87" i="1" s="1"/>
  <c r="F2" i="1"/>
  <c r="G3" i="1"/>
  <c r="H3" i="1"/>
  <c r="J48" i="1"/>
  <c r="K48" i="1"/>
  <c r="L48" i="1"/>
  <c r="M48" i="1"/>
  <c r="N48" i="1"/>
  <c r="O48" i="1"/>
  <c r="P48" i="1"/>
  <c r="Q48" i="1"/>
  <c r="R48" i="1"/>
  <c r="J49" i="1"/>
  <c r="K49" i="1"/>
  <c r="L49" i="1"/>
  <c r="M49" i="1"/>
  <c r="N49" i="1"/>
  <c r="O49" i="1"/>
  <c r="P49" i="1"/>
  <c r="Q49" i="1"/>
  <c r="R49" i="1"/>
  <c r="J51" i="1"/>
  <c r="K51" i="1"/>
  <c r="L51" i="1"/>
  <c r="M51" i="1"/>
  <c r="N51" i="1"/>
  <c r="O51" i="1"/>
  <c r="P51" i="1"/>
  <c r="Q51" i="1"/>
  <c r="R51" i="1"/>
  <c r="J54" i="1"/>
  <c r="K54" i="1"/>
  <c r="L54" i="1"/>
  <c r="M54" i="1"/>
  <c r="N54" i="1"/>
  <c r="O54" i="1"/>
  <c r="P54" i="1"/>
  <c r="Q54" i="1"/>
  <c r="R54" i="1"/>
  <c r="J60" i="1"/>
  <c r="K60" i="1"/>
  <c r="L60" i="1"/>
  <c r="M60" i="1"/>
  <c r="N60" i="1"/>
  <c r="O60" i="1"/>
  <c r="P60" i="1"/>
  <c r="Q60" i="1"/>
  <c r="R60" i="1"/>
  <c r="J66" i="1"/>
  <c r="K66" i="1"/>
  <c r="L66" i="1"/>
  <c r="M66" i="1"/>
  <c r="N66" i="1"/>
  <c r="O66" i="1"/>
  <c r="P66" i="1"/>
  <c r="Q66" i="1"/>
  <c r="R66" i="1"/>
  <c r="J68" i="1"/>
  <c r="K68" i="1"/>
  <c r="L68" i="1"/>
  <c r="M68" i="1"/>
  <c r="N68" i="1"/>
  <c r="O68" i="1"/>
  <c r="P68" i="1"/>
  <c r="Q68" i="1"/>
  <c r="R68" i="1"/>
  <c r="J74" i="1"/>
  <c r="K74" i="1"/>
  <c r="L74" i="1"/>
  <c r="M74" i="1"/>
  <c r="N74" i="1"/>
  <c r="O74" i="1"/>
  <c r="P74" i="1"/>
  <c r="Q74" i="1"/>
  <c r="R74" i="1"/>
  <c r="J80" i="1"/>
  <c r="K80" i="1"/>
  <c r="L80" i="1"/>
  <c r="M80" i="1"/>
  <c r="N80" i="1"/>
  <c r="O80" i="1"/>
  <c r="P80" i="1"/>
  <c r="Q80" i="1"/>
  <c r="R80" i="1"/>
  <c r="J86" i="1"/>
  <c r="K86" i="1"/>
  <c r="L86" i="1"/>
  <c r="M86" i="1"/>
  <c r="N86" i="1"/>
  <c r="O86" i="1"/>
  <c r="P86" i="1"/>
  <c r="Q86" i="1"/>
  <c r="R86" i="1"/>
  <c r="J87" i="1"/>
  <c r="K87" i="1"/>
  <c r="L87" i="1"/>
  <c r="M87" i="1"/>
  <c r="N87" i="1"/>
  <c r="O87" i="1"/>
  <c r="P87" i="1"/>
  <c r="Q87" i="1"/>
  <c r="R87" i="1"/>
  <c r="R88" i="1"/>
  <c r="R89" i="1"/>
  <c r="B90" i="1"/>
  <c r="B93" i="1"/>
  <c r="B95" i="1"/>
</calcChain>
</file>

<file path=xl/sharedStrings.xml><?xml version="1.0" encoding="utf-8"?>
<sst xmlns="http://schemas.openxmlformats.org/spreadsheetml/2006/main" count="395" uniqueCount="285">
  <si>
    <t>Johnson and Johnson DCF</t>
  </si>
  <si>
    <t>Inputs</t>
  </si>
  <si>
    <t>Ticker</t>
  </si>
  <si>
    <t>JNJ</t>
  </si>
  <si>
    <t>Share Price Estimate</t>
  </si>
  <si>
    <t>ST Growth Rate</t>
  </si>
  <si>
    <t>Date</t>
  </si>
  <si>
    <t>Current Share Price</t>
  </si>
  <si>
    <t>LT Growth Rate</t>
  </si>
  <si>
    <t>Assumptions</t>
  </si>
  <si>
    <t>Conservative (1)</t>
  </si>
  <si>
    <t>Base (2)</t>
  </si>
  <si>
    <t>Optimistic (3)</t>
  </si>
  <si>
    <t>Switches (#)</t>
  </si>
  <si>
    <t>Revenue 2024</t>
  </si>
  <si>
    <t>Revenue</t>
  </si>
  <si>
    <t>Revenue 2033</t>
  </si>
  <si>
    <t>EBIT Margin</t>
  </si>
  <si>
    <t>EBIT</t>
  </si>
  <si>
    <t>Taxes</t>
  </si>
  <si>
    <t>D&amp;A</t>
  </si>
  <si>
    <t>CapEx</t>
  </si>
  <si>
    <t>NWC</t>
  </si>
  <si>
    <t>WACC</t>
  </si>
  <si>
    <t>TGR</t>
  </si>
  <si>
    <t>Valuation Assumptions</t>
  </si>
  <si>
    <t>Income Statement</t>
  </si>
  <si>
    <t>Average EBIT / Rev</t>
  </si>
  <si>
    <t>% Growth</t>
  </si>
  <si>
    <t>% of revenue</t>
  </si>
  <si>
    <t>Taxes (Reported)</t>
  </si>
  <si>
    <t>Taxes (Effective)</t>
  </si>
  <si>
    <t xml:space="preserve">Tax Rate </t>
  </si>
  <si>
    <t>Cash Flow Items</t>
  </si>
  <si>
    <t>% of CAPEX</t>
  </si>
  <si>
    <t>CAPEX</t>
  </si>
  <si>
    <t>Change in NWC</t>
  </si>
  <si>
    <t>% of change in revenue</t>
  </si>
  <si>
    <t>DCF</t>
  </si>
  <si>
    <t>% growth</t>
  </si>
  <si>
    <t>Conservative Case</t>
  </si>
  <si>
    <t>Base Case</t>
  </si>
  <si>
    <t>This is assuming a linearly decreasing trend in revenue growth.</t>
  </si>
  <si>
    <t>Optimistic Case</t>
  </si>
  <si>
    <t>% of EBIT</t>
  </si>
  <si>
    <t>EBIAT</t>
  </si>
  <si>
    <t>% of rev</t>
  </si>
  <si>
    <t>Unlevered Free Cash Flow</t>
  </si>
  <si>
    <t>PV of CF's:</t>
  </si>
  <si>
    <t>Terminal Value:</t>
  </si>
  <si>
    <t>PV of TV:</t>
  </si>
  <si>
    <t>Enterprise Value</t>
  </si>
  <si>
    <t>(+) Cash</t>
  </si>
  <si>
    <t>(-) Debt</t>
  </si>
  <si>
    <t>Equity Value</t>
  </si>
  <si>
    <t># Shares</t>
  </si>
  <si>
    <t>Share Price</t>
  </si>
  <si>
    <t>Johnson &amp; Johnson (JNJ)</t>
  </si>
  <si>
    <t>$152.74</t>
  </si>
  <si>
    <t>Johnson &amp; Johnson</t>
  </si>
  <si>
    <t xml:space="preserve">JNJ   478160104   2475833   NYSE    Common stock    </t>
  </si>
  <si>
    <t>Source: FactSet Fundamentals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</si>
  <si>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</si>
  <si>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</si>
  <si>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</si>
  <si>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</si>
  <si>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</si>
  <si>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</si>
  <si>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</si>
  <si>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</si>
  <si>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</si>
  <si>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</si>
  <si>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</si>
  <si>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</si>
  <si>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</si>
  <si>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</si>
  <si>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</si>
  <si>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</si>
  <si>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</si>
  <si>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</si>
  <si>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</si>
  <si>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Other Intangibles</t>
  </si>
  <si>
    <t>Property,Plant &amp; Equipment</t>
  </si>
  <si>
    <t>Exceptional Provisions</t>
  </si>
  <si>
    <t>Restructuring Expense</t>
  </si>
  <si>
    <t>Legal Claim Expense</t>
  </si>
  <si>
    <t>Unrealized Valuation Gain/Loss</t>
  </si>
  <si>
    <t>Investments</t>
  </si>
  <si>
    <t>Hedges/Derivatives</t>
  </si>
  <si>
    <t>Excpl Chrgs - Others</t>
  </si>
  <si>
    <t>Acquired In-Process R&amp;D</t>
  </si>
  <si>
    <t>Other Unusual Expense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</si>
  <si>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</si>
  <si>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</si>
  <si>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</si>
  <si>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</si>
  <si>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</si>
  <si>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</si>
  <si>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</si>
  <si>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</si>
  <si>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</si>
  <si>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</si>
  <si>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</si>
  <si>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</si>
  <si>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</si>
  <si>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</si>
  <si>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</si>
  <si>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</si>
  <si>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</si>
  <si>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</si>
  <si>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</si>
  <si>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</si>
  <si>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</si>
  <si>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Consolidated Balance Sheets - USD ($) $ in Millions</t>
  </si>
  <si>
    <t>Dec. 31, 2019</t>
  </si>
  <si>
    <t>Dec. 31, 2020</t>
  </si>
  <si>
    <t>Dec. 31, 2021</t>
  </si>
  <si>
    <t>Dec. 31, 2022</t>
  </si>
  <si>
    <t>Dec. 31, 2023</t>
  </si>
  <si>
    <t>Current Assets</t>
  </si>
  <si>
    <t>Cash and cash equivalents (Notes 1 and 2)</t>
  </si>
  <si>
    <t>Marketable securities (Notes 1 and 2)</t>
  </si>
  <si>
    <t>Accounts receivable trade, less allowances</t>
  </si>
  <si>
    <t>Inventories (Notes 1 and 3)</t>
  </si>
  <si>
    <t>Prepaid expenses and other receivables</t>
  </si>
  <si>
    <t>Current assets of discontinued operations</t>
  </si>
  <si>
    <t>Assets held for sale (Note 20)</t>
  </si>
  <si>
    <t>Total Current Assets</t>
  </si>
  <si>
    <t>Property, plant and equipment, net (Notes 1 and 4)</t>
  </si>
  <si>
    <t>Intangible assets, net (Notes 1 and 5)</t>
  </si>
  <si>
    <t>Goodwill (Notes 1 and 5)</t>
  </si>
  <si>
    <t>Deferred taxes on income (Note 8)</t>
  </si>
  <si>
    <t>Other assets</t>
  </si>
  <si>
    <t>Noncurrent assets of discontinued operations</t>
  </si>
  <si>
    <t>—</t>
  </si>
  <si>
    <t>Total Assets</t>
  </si>
  <si>
    <t>Liabilities and Shareholders’ Equity</t>
  </si>
  <si>
    <t>Current Liabilities</t>
  </si>
  <si>
    <t>Loans and notes payable (Note 7)</t>
  </si>
  <si>
    <t>Accounts payable</t>
  </si>
  <si>
    <t>Accrued liabilities</t>
  </si>
  <si>
    <t>Accrued rebates, returns, and promotions</t>
  </si>
  <si>
    <t>Accrued compensation and employee obligations</t>
  </si>
  <si>
    <t>Accrued taxes on income (Note 8)</t>
  </si>
  <si>
    <t>Current liabilities of discontinued operations</t>
  </si>
  <si>
    <t>Total Current Liabilities</t>
  </si>
  <si>
    <t>Long-term debt (Note 7)</t>
  </si>
  <si>
    <t>Employee-related obligations (Notes 9 and 10)</t>
  </si>
  <si>
    <t>Long-term taxes payable (Note 8)</t>
  </si>
  <si>
    <t>Other liabilities</t>
  </si>
  <si>
    <t>Noncurrent liabilities of discontinued operations</t>
  </si>
  <si>
    <t>Total Liabilities</t>
  </si>
  <si>
    <t>Commitments and Contingencies (Note 21)</t>
  </si>
  <si>
    <t>Shareholders’ Equity</t>
  </si>
  <si>
    <t>Preferred stock</t>
  </si>
  <si>
    <t>Common stock — par value $1.00 per share (Note 12)</t>
  </si>
  <si>
    <t>Accumulated other comprehensive income (loss) (Note 13)</t>
  </si>
  <si>
    <t>Retained earnings</t>
  </si>
  <si>
    <t>Less: common stock held in treasury, at cost (Note 12)</t>
  </si>
  <si>
    <t>Total Shareholders’ Equity</t>
  </si>
  <si>
    <t>Total Liabilities and Shareholders’ Equity</t>
  </si>
  <si>
    <t>Calculated Variables</t>
  </si>
  <si>
    <t>Capex</t>
  </si>
  <si>
    <t>Consolidated Statements of Cash Flows - USD ($) $ in Millions</t>
  </si>
  <si>
    <t>Cash Flows from Operating Activities</t>
  </si>
  <si>
    <t> </t>
  </si>
  <si>
    <t>Net earnings</t>
  </si>
  <si>
    <t>Adjustments to reconcile net earnings to cash flows:</t>
  </si>
  <si>
    <t>Depreciation and amortization of property and intangibles</t>
  </si>
  <si>
    <t>Stock-based compensation</t>
  </si>
  <si>
    <t>Asset write-downs</t>
  </si>
  <si>
    <t>Contingent consideration reversal</t>
  </si>
  <si>
    <t>Charge for purchase of in-process research and development assets</t>
  </si>
  <si>
    <t>Gain on Kenvue separation</t>
  </si>
  <si>
    <t>Net gain on sale of assets/businesses</t>
  </si>
  <si>
    <t>Deferred tax provision</t>
  </si>
  <si>
    <t>Credit losses and accounts receivable allowances</t>
  </si>
  <si>
    <t>Decrease/(Increase) in accounts receivable</t>
  </si>
  <si>
    <t>Increase in inventories</t>
  </si>
  <si>
    <t>Increase in accounts payable and accrued liabilities</t>
  </si>
  <si>
    <t>Increase in other current and non-current assets</t>
  </si>
  <si>
    <t>Increase/(Decrease) in other current and non-current liabilities</t>
  </si>
  <si>
    <t>Net cash flows from operating activities</t>
  </si>
  <si>
    <t>Cash Flows from Investing Activities</t>
  </si>
  <si>
    <t>Additions to property, plant, and equipment</t>
  </si>
  <si>
    <t>Proceeds from disposal of assets/businesses, net</t>
  </si>
  <si>
    <t>Acquisitions, net of cash acquired</t>
  </si>
  <si>
    <t>Purchases of in-process research and development assets (Note 18)</t>
  </si>
  <si>
    <t>Purchases of investments</t>
  </si>
  <si>
    <t>Sales of investments</t>
  </si>
  <si>
    <t>Credit support agreements activity, net</t>
  </si>
  <si>
    <t>Other (primarily licenses and milestones)</t>
  </si>
  <si>
    <t>Net cash used by investing activities</t>
  </si>
  <si>
    <t>Cash Flows from Financing Activities</t>
  </si>
  <si>
    <t>Dividends to shareholders</t>
  </si>
  <si>
    <t>Repurchase of common stock</t>
  </si>
  <si>
    <t>Proceeds from short-term debt</t>
  </si>
  <si>
    <t>Repayment of short-term debt</t>
  </si>
  <si>
    <t>Proceeds from long-term debt, net of issuance costs</t>
  </si>
  <si>
    <t>Repayment of long-term debt</t>
  </si>
  <si>
    <t>Proceeds from stock options/employee withholding tax</t>
  </si>
  <si>
    <t>Proceeds of short and long-term debt, net of issuance cost, related to the debt that transferred to Kenvue at separation</t>
  </si>
  <si>
    <t>Proceeds from Kenvue initial public offering</t>
  </si>
  <si>
    <t>Cash transferred to Kenvue at separation</t>
  </si>
  <si>
    <t>Other</t>
  </si>
  <si>
    <t>Net cash used by financing activities</t>
  </si>
  <si>
    <t>Effect of exchange rate changes on cash and cash equivalents</t>
  </si>
  <si>
    <t>(Decrease)/Increase in cash and cash equivalents</t>
  </si>
  <si>
    <t>Cash and cash equivalents from continuing operations, beginning of period</t>
  </si>
  <si>
    <t>Cash and cash equivalents from discontinued operations, beginning of period</t>
  </si>
  <si>
    <t>Cash and cash equivalents, beginning of year</t>
  </si>
  <si>
    <t>Cash and cash equivalents from continuing operations, end of period</t>
  </si>
  <si>
    <t>Cash and cash equivalents from discontinued operations, end of period</t>
  </si>
  <si>
    <t>Cash and cash equivalents, end of year</t>
  </si>
  <si>
    <t>Supplemental Cash Flow Data</t>
  </si>
  <si>
    <t>Cash paid during the year for:</t>
  </si>
  <si>
    <t>Interest</t>
  </si>
  <si>
    <t>Interest, net of amount capitalized</t>
  </si>
  <si>
    <t>Income taxes</t>
  </si>
  <si>
    <t>Supplemental Schedule of Non-Cash Investing and Financing Activities</t>
  </si>
  <si>
    <t>Treasury stock issued for employee compensation and stock option plans, net</t>
  </si>
  <si>
    <t>Conversion of debt</t>
  </si>
  <si>
    <t>Acquisitions</t>
  </si>
  <si>
    <t>Fair value of assets acquired</t>
  </si>
  <si>
    <t>Fair value of liabilities assumed and noncontrolling interests</t>
  </si>
  <si>
    <t>Net cash paid for acquisitions</t>
  </si>
  <si>
    <t>Estimate Market Beta (CAPM)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</si>
  <si>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</si>
  <si>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</si>
  <si>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</si>
  <si>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</si>
  <si>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</si>
  <si>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</si>
  <si>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</si>
  <si>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CAPM Estimated Required Return on Equity</t>
  </si>
  <si>
    <t>ANOVA</t>
  </si>
  <si>
    <t>df</t>
  </si>
  <si>
    <t>SS</t>
  </si>
  <si>
    <t>MS</t>
  </si>
  <si>
    <t>F</t>
  </si>
  <si>
    <t>Significance F</t>
  </si>
  <si>
    <t>Estimated Yield on Bonds</t>
  </si>
  <si>
    <t>Regression</t>
  </si>
  <si>
    <t>Pull this number as the yield on corporate bonds at the time of your valuation.</t>
  </si>
  <si>
    <t>Residual</t>
  </si>
  <si>
    <t>Conversely, pull this number as the average yield on bonds with your firm's rating.</t>
  </si>
  <si>
    <t>Total</t>
  </si>
  <si>
    <t>Rating</t>
  </si>
  <si>
    <t>AAA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</si>
  <si>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</si>
  <si>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</si>
  <si>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</si>
  <si>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</si>
  <si>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</si>
  <si>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</si>
  <si>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</si>
  <si>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Yield</t>
  </si>
  <si>
    <t>Intercept</t>
  </si>
  <si>
    <t>X Variable 1</t>
  </si>
  <si>
    <t>Estimate Equity Risk Premium</t>
  </si>
  <si>
    <t>Financing Structure</t>
  </si>
  <si>
    <t>You can do this yourself or grab it from a reputable source:</t>
  </si>
  <si>
    <t>Mkt Value of Equity</t>
  </si>
  <si>
    <t>Mkt Value of Debt</t>
  </si>
  <si>
    <t>2024 United States ERP</t>
  </si>
  <si>
    <t>Estimate Risk Free Rate</t>
  </si>
  <si>
    <t>Take the U.S. treasury yield for the time horizon of your valuation</t>
  </si>
  <si>
    <t>5 - year Treasury Yield</t>
  </si>
  <si>
    <t>Open</t>
  </si>
  <si>
    <t>High</t>
  </si>
  <si>
    <t>Low</t>
  </si>
  <si>
    <t>Close </t>
  </si>
  <si>
    <t>Adj Close </t>
  </si>
  <si>
    <t>Volume</t>
  </si>
  <si>
    <t>Adj Ret</t>
  </si>
  <si>
    <t>Sharpe Ratio</t>
  </si>
  <si>
    <t xml:space="preserve">Average Return </t>
  </si>
  <si>
    <t xml:space="preserve">Standard deviation </t>
  </si>
  <si>
    <t>Close</t>
  </si>
  <si>
    <t>Adj Close</t>
  </si>
  <si>
    <t>Here I use SPY returns to proxy for market returns.</t>
  </si>
  <si>
    <t>Make sure you update the dates so they are the same as your inputted firm returns.</t>
  </si>
  <si>
    <t>Sharp Ratio</t>
  </si>
  <si>
    <t>Avg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</si>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</sst>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 &quot;#,##0_);_(&quot;$ &quot;\(#,##0\)"/>
    <numFmt numFmtId="165" formatCode="&quot;$&quot;#,##0.00"/>
    <numFmt numFmtId="166" formatCode="#,##0;\(#,##0\)"/>
    <numFmt numFmtId="167" formatCode="_(&quot;$&quot;* #,##0_);_(&quot;$&quot;* \(#,##0\);_(&quot;$&quot;* &quot;-&quot;??_);_(@_)"/>
    <numFmt numFmtId="168" formatCode="#,##0.0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theme="9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232A31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4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b/>
      <sz val="11"/>
      <color rgb="FF00206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sz val="10"/>
      <color rgb="FF232A3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</cellStyleXfs>
  <cellXfs count="119">
    <xf numFmtId="0" fontId="0" fillId="0" borderId="0" xfId="0"/>
    <xf numFmtId="0" fontId="3" fillId="0" borderId="0" xfId="0" applyFont="1"/>
    <xf numFmtId="14" fontId="0" fillId="0" borderId="0" xfId="0" applyNumberFormat="1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3" fillId="3" borderId="0" xfId="0" applyFont="1" applyFill="1"/>
    <xf numFmtId="0" fontId="5" fillId="0" borderId="0" xfId="0" applyFont="1"/>
    <xf numFmtId="3" fontId="0" fillId="0" borderId="0" xfId="0" applyNumberFormat="1"/>
    <xf numFmtId="6" fontId="0" fillId="0" borderId="0" xfId="0" applyNumberFormat="1"/>
    <xf numFmtId="0" fontId="7" fillId="0" borderId="0" xfId="0" applyFont="1" applyAlignment="1">
      <alignment vertical="top" wrapText="1"/>
    </xf>
    <xf numFmtId="37" fontId="7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9" fontId="0" fillId="0" borderId="0" xfId="2" applyFont="1"/>
    <xf numFmtId="0" fontId="2" fillId="0" borderId="0" xfId="0" applyFont="1"/>
    <xf numFmtId="0" fontId="4" fillId="2" borderId="0" xfId="0" applyFont="1" applyFill="1"/>
    <xf numFmtId="0" fontId="0" fillId="0" borderId="0" xfId="0" applyAlignment="1">
      <alignment horizontal="right"/>
    </xf>
    <xf numFmtId="44" fontId="0" fillId="0" borderId="0" xfId="1" applyFont="1"/>
    <xf numFmtId="37" fontId="0" fillId="0" borderId="0" xfId="0" applyNumberFormat="1"/>
    <xf numFmtId="0" fontId="4" fillId="4" borderId="0" xfId="0" applyFont="1" applyFill="1" applyAlignment="1">
      <alignment horizontal="center"/>
    </xf>
    <xf numFmtId="9" fontId="0" fillId="0" borderId="0" xfId="0" applyNumberFormat="1"/>
    <xf numFmtId="0" fontId="6" fillId="0" borderId="0" xfId="0" applyFont="1"/>
    <xf numFmtId="0" fontId="0" fillId="5" borderId="0" xfId="0" applyFill="1"/>
    <xf numFmtId="0" fontId="0" fillId="4" borderId="0" xfId="0" applyFill="1"/>
    <xf numFmtId="9" fontId="0" fillId="5" borderId="0" xfId="0" applyNumberFormat="1" applyFill="1"/>
    <xf numFmtId="10" fontId="0" fillId="6" borderId="0" xfId="0" applyNumberFormat="1" applyFill="1"/>
    <xf numFmtId="9" fontId="0" fillId="5" borderId="0" xfId="2" applyFont="1" applyFill="1"/>
    <xf numFmtId="10" fontId="0" fillId="0" borderId="0" xfId="0" applyNumberFormat="1"/>
    <xf numFmtId="165" fontId="0" fillId="0" borderId="0" xfId="0" applyNumberFormat="1"/>
    <xf numFmtId="10" fontId="0" fillId="5" borderId="0" xfId="0" applyNumberFormat="1" applyFill="1"/>
    <xf numFmtId="0" fontId="0" fillId="7" borderId="0" xfId="0" applyFill="1"/>
    <xf numFmtId="44" fontId="0" fillId="7" borderId="0" xfId="0" applyNumberFormat="1" applyFill="1"/>
    <xf numFmtId="10" fontId="0" fillId="0" borderId="0" xfId="2" applyNumberFormat="1" applyFont="1"/>
    <xf numFmtId="44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6" fontId="3" fillId="0" borderId="0" xfId="0" applyNumberFormat="1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7" fontId="9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vertical="center" wrapText="1"/>
    </xf>
    <xf numFmtId="166" fontId="10" fillId="0" borderId="0" xfId="0" applyNumberFormat="1" applyFont="1" applyAlignment="1">
      <alignment vertical="center" wrapText="1"/>
    </xf>
    <xf numFmtId="6" fontId="8" fillId="0" borderId="0" xfId="0" applyNumberFormat="1" applyFont="1"/>
    <xf numFmtId="0" fontId="12" fillId="0" borderId="0" xfId="0" applyFont="1"/>
    <xf numFmtId="14" fontId="11" fillId="8" borderId="0" xfId="0" applyNumberFormat="1" applyFont="1" applyFill="1" applyAlignment="1">
      <alignment horizontal="right" vertical="center"/>
    </xf>
    <xf numFmtId="167" fontId="0" fillId="0" borderId="0" xfId="1" applyNumberFormat="1" applyFont="1"/>
    <xf numFmtId="0" fontId="13" fillId="0" borderId="0" xfId="3"/>
    <xf numFmtId="0" fontId="13" fillId="0" borderId="0" xfId="3" applyAlignment="1">
      <alignment horizontal="left"/>
    </xf>
    <xf numFmtId="3" fontId="13" fillId="0" borderId="0" xfId="3" applyNumberFormat="1" applyAlignment="1">
      <alignment horizontal="right"/>
    </xf>
    <xf numFmtId="0" fontId="13" fillId="9" borderId="0" xfId="3" applyFill="1" applyAlignment="1">
      <alignment horizontal="left"/>
    </xf>
    <xf numFmtId="3" fontId="13" fillId="9" borderId="0" xfId="3" applyNumberFormat="1" applyFill="1" applyAlignment="1">
      <alignment horizontal="right"/>
    </xf>
    <xf numFmtId="4" fontId="13" fillId="0" borderId="0" xfId="3" applyNumberFormat="1" applyAlignment="1">
      <alignment horizontal="right"/>
    </xf>
    <xf numFmtId="4" fontId="13" fillId="9" borderId="0" xfId="3" applyNumberFormat="1" applyFill="1" applyAlignment="1">
      <alignment horizontal="right"/>
    </xf>
    <xf numFmtId="168" fontId="13" fillId="0" borderId="0" xfId="3" applyNumberFormat="1" applyAlignment="1">
      <alignment horizontal="right"/>
    </xf>
    <xf numFmtId="3" fontId="15" fillId="0" borderId="0" xfId="3" applyNumberFormat="1" applyFont="1" applyAlignment="1">
      <alignment horizontal="right"/>
    </xf>
    <xf numFmtId="6" fontId="0" fillId="0" borderId="0" xfId="1" applyNumberFormat="1" applyFont="1"/>
    <xf numFmtId="0" fontId="13" fillId="0" borderId="3" xfId="3" applyBorder="1"/>
    <xf numFmtId="0" fontId="13" fillId="0" borderId="4" xfId="3" applyBorder="1"/>
    <xf numFmtId="0" fontId="14" fillId="0" borderId="0" xfId="3" applyFont="1" applyAlignment="1">
      <alignment horizontal="left"/>
    </xf>
    <xf numFmtId="0" fontId="16" fillId="0" borderId="0" xfId="3" applyFont="1" applyAlignment="1">
      <alignment horizontal="left"/>
    </xf>
    <xf numFmtId="3" fontId="16" fillId="0" borderId="0" xfId="3" applyNumberFormat="1" applyFont="1" applyAlignment="1">
      <alignment horizontal="right"/>
    </xf>
    <xf numFmtId="168" fontId="16" fillId="0" borderId="0" xfId="3" applyNumberFormat="1" applyFont="1" applyAlignment="1">
      <alignment horizontal="right"/>
    </xf>
    <xf numFmtId="0" fontId="16" fillId="9" borderId="0" xfId="3" applyFont="1" applyFill="1" applyAlignment="1">
      <alignment horizontal="left" indent="3"/>
    </xf>
    <xf numFmtId="3" fontId="16" fillId="9" borderId="0" xfId="3" applyNumberFormat="1" applyFont="1" applyFill="1" applyAlignment="1">
      <alignment horizontal="right"/>
    </xf>
    <xf numFmtId="0" fontId="13" fillId="0" borderId="0" xfId="3" applyAlignment="1">
      <alignment horizontal="left" indent="4"/>
    </xf>
    <xf numFmtId="0" fontId="16" fillId="9" borderId="0" xfId="3" applyFont="1" applyFill="1" applyAlignment="1">
      <alignment horizontal="left" indent="6"/>
    </xf>
    <xf numFmtId="0" fontId="13" fillId="0" borderId="0" xfId="3" applyAlignment="1">
      <alignment horizontal="left" indent="7"/>
    </xf>
    <xf numFmtId="0" fontId="13" fillId="9" borderId="0" xfId="3" applyFill="1" applyAlignment="1">
      <alignment horizontal="left" indent="7"/>
    </xf>
    <xf numFmtId="0" fontId="13" fillId="9" borderId="0" xfId="3" applyFill="1" applyAlignment="1">
      <alignment horizontal="left" indent="4"/>
    </xf>
    <xf numFmtId="168" fontId="15" fillId="0" borderId="0" xfId="3" applyNumberFormat="1" applyFont="1" applyAlignment="1">
      <alignment horizontal="right"/>
    </xf>
    <xf numFmtId="0" fontId="16" fillId="0" borderId="0" xfId="3" applyFont="1" applyAlignment="1">
      <alignment horizontal="left" indent="3"/>
    </xf>
    <xf numFmtId="0" fontId="16" fillId="0" borderId="0" xfId="3" applyFont="1" applyAlignment="1">
      <alignment horizontal="left" indent="6"/>
    </xf>
    <xf numFmtId="3" fontId="15" fillId="9" borderId="0" xfId="3" applyNumberFormat="1" applyFont="1" applyFill="1" applyAlignment="1">
      <alignment horizontal="right"/>
    </xf>
    <xf numFmtId="4" fontId="16" fillId="0" borderId="0" xfId="3" applyNumberFormat="1" applyFont="1" applyAlignment="1">
      <alignment horizontal="right"/>
    </xf>
    <xf numFmtId="0" fontId="16" fillId="9" borderId="0" xfId="3" applyFont="1" applyFill="1" applyAlignment="1">
      <alignment horizontal="left"/>
    </xf>
    <xf numFmtId="0" fontId="13" fillId="0" borderId="0" xfId="3" applyAlignment="1">
      <alignment horizontal="left" indent="1"/>
    </xf>
    <xf numFmtId="0" fontId="13" fillId="9" borderId="0" xfId="3" applyFill="1" applyAlignment="1">
      <alignment horizontal="left" indent="1"/>
    </xf>
    <xf numFmtId="4" fontId="16" fillId="9" borderId="0" xfId="3" applyNumberFormat="1" applyFont="1" applyFill="1" applyAlignment="1">
      <alignment horizontal="right"/>
    </xf>
    <xf numFmtId="3" fontId="8" fillId="0" borderId="0" xfId="0" applyNumberFormat="1" applyFont="1"/>
    <xf numFmtId="3" fontId="2" fillId="0" borderId="0" xfId="0" applyNumberFormat="1" applyFont="1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10" fontId="0" fillId="0" borderId="0" xfId="2" applyNumberFormat="1" applyFont="1" applyAlignment="1">
      <alignment horizontal="center"/>
    </xf>
    <xf numFmtId="0" fontId="4" fillId="10" borderId="0" xfId="0" applyFont="1" applyFill="1"/>
    <xf numFmtId="14" fontId="4" fillId="10" borderId="0" xfId="0" applyNumberFormat="1" applyFont="1" applyFill="1"/>
    <xf numFmtId="0" fontId="4" fillId="10" borderId="0" xfId="0" applyFont="1" applyFill="1" applyAlignment="1">
      <alignment horizontal="center"/>
    </xf>
    <xf numFmtId="0" fontId="18" fillId="10" borderId="0" xfId="3" applyFont="1" applyFill="1" applyAlignment="1">
      <alignment horizontal="left"/>
    </xf>
    <xf numFmtId="0" fontId="18" fillId="10" borderId="0" xfId="3" applyFont="1" applyFill="1" applyAlignment="1">
      <alignment horizontal="center"/>
    </xf>
    <xf numFmtId="0" fontId="18" fillId="10" borderId="0" xfId="3" applyFont="1" applyFill="1"/>
    <xf numFmtId="0" fontId="19" fillId="10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10" borderId="0" xfId="0" applyFont="1" applyFill="1" applyAlignment="1">
      <alignment horizontal="center" vertical="center" wrapText="1"/>
    </xf>
    <xf numFmtId="37" fontId="19" fillId="10" borderId="0" xfId="0" applyNumberFormat="1" applyFont="1" applyFill="1" applyAlignment="1">
      <alignment horizontal="right" vertical="top"/>
    </xf>
    <xf numFmtId="3" fontId="4" fillId="10" borderId="0" xfId="0" applyNumberFormat="1" applyFont="1" applyFill="1"/>
    <xf numFmtId="0" fontId="20" fillId="0" borderId="0" xfId="0" applyFont="1"/>
    <xf numFmtId="14" fontId="11" fillId="8" borderId="0" xfId="0" applyNumberFormat="1" applyFont="1" applyFill="1" applyAlignment="1">
      <alignment horizontal="center" vertical="center"/>
    </xf>
    <xf numFmtId="14" fontId="11" fillId="8" borderId="0" xfId="0" applyNumberFormat="1" applyFont="1" applyFill="1" applyAlignment="1">
      <alignment vertical="center"/>
    </xf>
    <xf numFmtId="14" fontId="0" fillId="0" borderId="0" xfId="0" applyNumberFormat="1" applyAlignment="1">
      <alignment horizontal="center"/>
    </xf>
    <xf numFmtId="0" fontId="4" fillId="10" borderId="5" xfId="0" applyFont="1" applyFill="1" applyBorder="1"/>
    <xf numFmtId="0" fontId="0" fillId="0" borderId="5" xfId="0" applyBorder="1"/>
    <xf numFmtId="0" fontId="22" fillId="10" borderId="5" xfId="0" applyFont="1" applyFill="1" applyBorder="1" applyAlignment="1">
      <alignment horizontal="center"/>
    </xf>
    <xf numFmtId="4" fontId="24" fillId="8" borderId="5" xfId="0" applyNumberFormat="1" applyFont="1" applyFill="1" applyBorder="1" applyAlignment="1">
      <alignment horizontal="right" vertical="center"/>
    </xf>
    <xf numFmtId="3" fontId="24" fillId="8" borderId="5" xfId="0" applyNumberFormat="1" applyFont="1" applyFill="1" applyBorder="1" applyAlignment="1">
      <alignment horizontal="right" vertical="center"/>
    </xf>
    <xf numFmtId="0" fontId="23" fillId="0" borderId="5" xfId="0" applyFont="1" applyBorder="1"/>
    <xf numFmtId="14" fontId="22" fillId="10" borderId="5" xfId="0" applyNumberFormat="1" applyFont="1" applyFill="1" applyBorder="1"/>
    <xf numFmtId="15" fontId="24" fillId="8" borderId="5" xfId="0" applyNumberFormat="1" applyFont="1" applyFill="1" applyBorder="1" applyAlignment="1">
      <alignment vertical="center"/>
    </xf>
    <xf numFmtId="14" fontId="22" fillId="10" borderId="5" xfId="0" applyNumberFormat="1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vertical="center"/>
    </xf>
    <xf numFmtId="3" fontId="24" fillId="8" borderId="5" xfId="0" applyNumberFormat="1" applyFont="1" applyFill="1" applyBorder="1" applyAlignment="1">
      <alignment vertical="center"/>
    </xf>
    <xf numFmtId="0" fontId="21" fillId="10" borderId="0" xfId="0" applyFont="1" applyFill="1"/>
    <xf numFmtId="0" fontId="3" fillId="10" borderId="0" xfId="0" applyFont="1" applyFill="1"/>
    <xf numFmtId="0" fontId="21" fillId="10" borderId="0" xfId="0" applyFont="1" applyFill="1" applyAlignment="1">
      <alignment horizontal="center"/>
    </xf>
    <xf numFmtId="0" fontId="20" fillId="7" borderId="0" xfId="0" applyFont="1" applyFill="1"/>
    <xf numFmtId="0" fontId="17" fillId="10" borderId="0" xfId="0" applyFont="1" applyFill="1" applyAlignment="1">
      <alignment horizontal="center"/>
    </xf>
  </cellXfs>
  <cellStyles count="4">
    <cellStyle name="Currency" xfId="1" builtinId="4"/>
    <cellStyle name="Normal" xfId="0" builtinId="0"/>
    <cellStyle name="Normal 2" xfId="3" xr:uid="{BBFEAC83-82D0-48C5-A4F0-F80574781C3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1564-FFDD-412D-A68A-1B09E852A144}">
  <dimension ref="A1:S95"/>
  <sheetViews>
    <sheetView tabSelected="1" workbookViewId="0">
      <selection activeCell="G3" sqref="G3"/>
    </sheetView>
  </sheetViews>
  <sheetFormatPr defaultRowHeight="14.45"/>
  <cols>
    <col min="1" max="1" width="16" customWidth="1"/>
    <col min="2" max="2" width="19.28515625" customWidth="1"/>
    <col min="4" max="4" width="11.28515625" bestFit="1" customWidth="1"/>
    <col min="5" max="5" width="21.5703125" customWidth="1"/>
    <col min="6" max="6" width="13.140625" customWidth="1"/>
    <col min="7" max="7" width="14.5703125" customWidth="1"/>
    <col min="8" max="8" width="13.85546875" customWidth="1"/>
    <col min="9" max="9" width="16.85546875" customWidth="1"/>
    <col min="10" max="10" width="13.5703125" customWidth="1"/>
    <col min="11" max="11" width="13" customWidth="1"/>
    <col min="12" max="14" width="12" bestFit="1" customWidth="1"/>
    <col min="15" max="15" width="12.28515625" customWidth="1"/>
    <col min="16" max="17" width="12.28515625" bestFit="1" customWidth="1"/>
    <col min="18" max="18" width="16.7109375" bestFit="1" customWidth="1"/>
  </cols>
  <sheetData>
    <row r="1" spans="1:19" ht="18.75">
      <c r="A1" s="118" t="s">
        <v>0</v>
      </c>
      <c r="B1" s="118"/>
      <c r="C1" s="118"/>
      <c r="R1" s="4" t="s">
        <v>1</v>
      </c>
    </row>
    <row r="2" spans="1:19">
      <c r="A2" t="s">
        <v>2</v>
      </c>
      <c r="B2" t="s">
        <v>3</v>
      </c>
      <c r="E2" t="s">
        <v>4</v>
      </c>
      <c r="F2" s="34">
        <f ca="1">B95</f>
        <v>412.96469868662973</v>
      </c>
      <c r="R2" t="s">
        <v>5</v>
      </c>
      <c r="S2" s="14">
        <f>MEDIAN(E23:H23)</f>
        <v>3.458279334447445E-2</v>
      </c>
    </row>
    <row r="3" spans="1:19">
      <c r="A3" t="s">
        <v>6</v>
      </c>
      <c r="B3" s="2">
        <v>45600</v>
      </c>
      <c r="E3" t="s">
        <v>7</v>
      </c>
      <c r="F3" s="34">
        <v>154.01</v>
      </c>
      <c r="G3" s="14">
        <f ca="1">F3/F2-1</f>
        <v>-0.62706255403959488</v>
      </c>
      <c r="H3" t="str">
        <f ca="1">IF(G3&gt;0, "overvalued", "undervalued")</f>
        <v>undervalued</v>
      </c>
      <c r="R3" t="s">
        <v>8</v>
      </c>
      <c r="S3" s="14">
        <v>0.02</v>
      </c>
    </row>
    <row r="4" spans="1:19">
      <c r="B4" s="2"/>
    </row>
    <row r="5" spans="1:19" ht="15">
      <c r="A5" s="114" t="s">
        <v>9</v>
      </c>
      <c r="B5" s="88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</row>
    <row r="6" spans="1:19">
      <c r="B6" s="2"/>
      <c r="E6" s="1" t="s">
        <v>10</v>
      </c>
      <c r="G6" s="1" t="s">
        <v>11</v>
      </c>
      <c r="I6" s="1" t="s">
        <v>12</v>
      </c>
    </row>
    <row r="7" spans="1:19">
      <c r="A7" s="1" t="s">
        <v>13</v>
      </c>
      <c r="B7" s="2"/>
      <c r="E7" t="s">
        <v>14</v>
      </c>
      <c r="F7" s="25">
        <v>0.01</v>
      </c>
      <c r="G7" t="s">
        <v>14</v>
      </c>
      <c r="H7" s="25">
        <v>0.03</v>
      </c>
      <c r="I7" t="s">
        <v>14</v>
      </c>
      <c r="J7" s="27">
        <v>0.08</v>
      </c>
    </row>
    <row r="8" spans="1:19">
      <c r="A8" t="s">
        <v>15</v>
      </c>
      <c r="B8" s="2"/>
      <c r="C8" s="23">
        <v>2</v>
      </c>
      <c r="E8" t="s">
        <v>16</v>
      </c>
      <c r="F8" s="25">
        <v>0.02</v>
      </c>
      <c r="G8" t="s">
        <v>16</v>
      </c>
      <c r="H8" s="25">
        <v>0.04</v>
      </c>
      <c r="I8" t="s">
        <v>16</v>
      </c>
      <c r="J8" s="25">
        <v>0.05</v>
      </c>
    </row>
    <row r="9" spans="1:19">
      <c r="A9" t="s">
        <v>17</v>
      </c>
      <c r="B9" s="2"/>
      <c r="C9" s="23">
        <v>2</v>
      </c>
      <c r="E9" t="s">
        <v>18</v>
      </c>
      <c r="F9" s="25">
        <v>0.08</v>
      </c>
      <c r="G9" t="s">
        <v>18</v>
      </c>
      <c r="H9" s="27">
        <f>GEOMEAN(E26:H26)</f>
        <v>0.25845359695728964</v>
      </c>
      <c r="I9" t="s">
        <v>18</v>
      </c>
      <c r="J9" s="25">
        <v>0.3</v>
      </c>
    </row>
    <row r="10" spans="1:19">
      <c r="A10" t="s">
        <v>19</v>
      </c>
      <c r="B10" s="2"/>
      <c r="C10" s="23">
        <v>2</v>
      </c>
      <c r="E10" t="s">
        <v>19</v>
      </c>
      <c r="F10" s="25">
        <v>0.21</v>
      </c>
      <c r="G10" t="s">
        <v>19</v>
      </c>
      <c r="H10" s="30">
        <f>AVERAGE(D30:H30)</f>
        <v>0.18720913937231209</v>
      </c>
      <c r="I10" t="s">
        <v>19</v>
      </c>
      <c r="J10" s="25">
        <v>0</v>
      </c>
    </row>
    <row r="11" spans="1:19">
      <c r="A11" t="s">
        <v>20</v>
      </c>
      <c r="B11" s="2"/>
      <c r="C11" s="23">
        <v>2</v>
      </c>
      <c r="E11" t="s">
        <v>20</v>
      </c>
      <c r="F11" s="25">
        <f>H11-0.005</f>
        <v>8.0344178031807004E-2</v>
      </c>
      <c r="G11" t="s">
        <v>20</v>
      </c>
      <c r="H11" s="30">
        <f>AVERAGE(D69:H69)</f>
        <v>8.5344178031807008E-2</v>
      </c>
      <c r="I11" t="s">
        <v>20</v>
      </c>
      <c r="J11" s="25">
        <f>H11+0.005</f>
        <v>9.0344178031807013E-2</v>
      </c>
    </row>
    <row r="12" spans="1:19">
      <c r="A12" t="s">
        <v>21</v>
      </c>
      <c r="B12" s="2"/>
      <c r="C12" s="23">
        <v>2</v>
      </c>
      <c r="E12" t="s">
        <v>21</v>
      </c>
      <c r="F12" s="25">
        <f>H12+0.01</f>
        <v>1.5153901286336422E-2</v>
      </c>
      <c r="G12" t="s">
        <v>21</v>
      </c>
      <c r="H12" s="30">
        <f>AVERAGE(D75:H75)</f>
        <v>5.1539012863364222E-3</v>
      </c>
      <c r="I12" t="s">
        <v>21</v>
      </c>
      <c r="J12" s="25">
        <f>H12-0.01</f>
        <v>-4.846098713663578E-3</v>
      </c>
    </row>
    <row r="13" spans="1:19">
      <c r="A13" t="s">
        <v>22</v>
      </c>
      <c r="B13" s="2"/>
      <c r="C13" s="23">
        <v>2</v>
      </c>
      <c r="E13" t="s">
        <v>22</v>
      </c>
      <c r="F13" s="25">
        <f>H13</f>
        <v>-1.1132570185106896E-2</v>
      </c>
      <c r="G13" t="s">
        <v>22</v>
      </c>
      <c r="H13" s="30">
        <f>AVERAGE(E43:H43)</f>
        <v>-1.1132570185106896E-2</v>
      </c>
      <c r="I13" t="s">
        <v>22</v>
      </c>
      <c r="J13" s="25">
        <f>H13</f>
        <v>-1.1132570185106896E-2</v>
      </c>
    </row>
    <row r="14" spans="1:19">
      <c r="A14" t="s">
        <v>23</v>
      </c>
      <c r="B14" s="2"/>
      <c r="C14" s="23">
        <v>2</v>
      </c>
      <c r="E14" t="s">
        <v>23</v>
      </c>
      <c r="F14" s="25">
        <v>0.09</v>
      </c>
      <c r="G14" t="s">
        <v>23</v>
      </c>
      <c r="H14" s="25">
        <v>0.05</v>
      </c>
      <c r="I14" t="s">
        <v>23</v>
      </c>
      <c r="J14" s="25">
        <v>0.04</v>
      </c>
    </row>
    <row r="15" spans="1:19">
      <c r="A15" t="s">
        <v>24</v>
      </c>
      <c r="B15" s="2"/>
      <c r="C15" s="23">
        <v>2</v>
      </c>
      <c r="E15" t="s">
        <v>24</v>
      </c>
      <c r="F15" s="23"/>
      <c r="G15" t="s">
        <v>24</v>
      </c>
      <c r="H15" s="23"/>
      <c r="I15" t="s">
        <v>24</v>
      </c>
      <c r="J15" s="23"/>
    </row>
    <row r="16" spans="1:19">
      <c r="B16" s="2"/>
      <c r="C16" s="24"/>
    </row>
    <row r="17" spans="1:19">
      <c r="A17" s="1" t="s">
        <v>25</v>
      </c>
      <c r="C17" s="24"/>
    </row>
    <row r="18" spans="1:19">
      <c r="A18" t="s">
        <v>23</v>
      </c>
      <c r="C18" s="27">
        <v>0.05</v>
      </c>
    </row>
    <row r="19" spans="1:19">
      <c r="A19" t="s">
        <v>24</v>
      </c>
      <c r="C19" s="27">
        <v>0.03</v>
      </c>
    </row>
    <row r="20" spans="1:19">
      <c r="B20" s="2"/>
    </row>
    <row r="21" spans="1:19" ht="15">
      <c r="A21" s="114" t="s">
        <v>26</v>
      </c>
      <c r="B21" s="115"/>
      <c r="C21" s="115"/>
      <c r="D21" s="116">
        <v>2019</v>
      </c>
      <c r="E21" s="116">
        <v>2020</v>
      </c>
      <c r="F21" s="116">
        <v>2021</v>
      </c>
      <c r="G21" s="116">
        <v>2022</v>
      </c>
      <c r="H21" s="116">
        <v>2023</v>
      </c>
      <c r="I21" s="116">
        <v>2024</v>
      </c>
      <c r="J21" s="116">
        <v>2025</v>
      </c>
      <c r="K21" s="116">
        <v>2026</v>
      </c>
      <c r="L21" s="116">
        <v>2027</v>
      </c>
      <c r="M21" s="116">
        <v>2028</v>
      </c>
      <c r="N21" s="116">
        <v>2029</v>
      </c>
      <c r="R21" t="s">
        <v>27</v>
      </c>
      <c r="S21">
        <f>GEOMEAN(E26:H26)</f>
        <v>0.25845359695728964</v>
      </c>
    </row>
    <row r="22" spans="1:19">
      <c r="A22" t="s">
        <v>15</v>
      </c>
      <c r="D22" s="81">
        <f>'Income Statement'!B10</f>
        <v>82113</v>
      </c>
      <c r="E22" s="81">
        <f>'Income Statement'!C10</f>
        <v>82572</v>
      </c>
      <c r="F22" s="81">
        <f>'Income Statement'!D10</f>
        <v>93758</v>
      </c>
      <c r="G22" s="81">
        <f>'Income Statement'!E10</f>
        <v>80062</v>
      </c>
      <c r="H22" s="81">
        <f>'Income Statement'!F10</f>
        <v>85152</v>
      </c>
      <c r="I22" s="53"/>
      <c r="J22" s="53"/>
      <c r="K22" s="53"/>
      <c r="L22" s="53"/>
      <c r="M22" s="53"/>
      <c r="N22" s="53"/>
    </row>
    <row r="23" spans="1:19">
      <c r="A23" s="8" t="s">
        <v>28</v>
      </c>
      <c r="D23" s="14"/>
      <c r="E23" s="14">
        <f>(E22/D22)-1</f>
        <v>5.5898578787767494E-3</v>
      </c>
      <c r="F23" s="14">
        <f t="shared" ref="F23:H23" si="0">(F22/E22)-1</f>
        <v>0.1354696507290607</v>
      </c>
      <c r="G23" s="14">
        <f t="shared" si="0"/>
        <v>-0.14607820132682015</v>
      </c>
      <c r="H23" s="14">
        <f t="shared" si="0"/>
        <v>6.357572881017215E-2</v>
      </c>
      <c r="I23" s="14"/>
      <c r="J23" s="14"/>
      <c r="K23" s="14"/>
      <c r="L23" s="14"/>
      <c r="M23" s="14"/>
      <c r="N23" s="14"/>
    </row>
    <row r="25" spans="1:19">
      <c r="A25" t="s">
        <v>18</v>
      </c>
      <c r="D25" s="45">
        <f>'Income Statement'!B20</f>
        <v>21550</v>
      </c>
      <c r="E25" s="45">
        <f>'Income Statement'!C20</f>
        <v>20468</v>
      </c>
      <c r="F25" s="45">
        <f>'Income Statement'!D20</f>
        <v>24481</v>
      </c>
      <c r="G25" s="45">
        <f>'Income Statement'!E20</f>
        <v>21207</v>
      </c>
      <c r="H25" s="45">
        <f>'Income Statement'!F20</f>
        <v>22162</v>
      </c>
    </row>
    <row r="26" spans="1:19">
      <c r="A26" s="8" t="s">
        <v>29</v>
      </c>
      <c r="D26" s="14">
        <f>D25/D22</f>
        <v>0.26244321849159086</v>
      </c>
      <c r="E26" s="14">
        <f t="shared" ref="E26:H26" si="1">E25/E22</f>
        <v>0.24788063750423872</v>
      </c>
      <c r="F26" s="14">
        <f t="shared" si="1"/>
        <v>0.2611083854177777</v>
      </c>
      <c r="G26" s="14">
        <f t="shared" si="1"/>
        <v>0.26488221628238118</v>
      </c>
      <c r="H26" s="14">
        <f t="shared" si="1"/>
        <v>0.2602639984968057</v>
      </c>
      <c r="I26" s="21"/>
    </row>
    <row r="28" spans="1:19">
      <c r="A28" t="s">
        <v>30</v>
      </c>
      <c r="D28" s="45">
        <f>'Income Statement'!B41</f>
        <v>2209</v>
      </c>
      <c r="E28" s="45">
        <f>'Income Statement'!C15</f>
        <v>4700</v>
      </c>
      <c r="F28" s="45">
        <f>'Income Statement'!D15</f>
        <v>4700</v>
      </c>
      <c r="G28" s="45">
        <f>'Income Statement'!E15</f>
        <v>3900</v>
      </c>
      <c r="H28" s="45">
        <f>'Income Statement'!F15</f>
        <v>4500</v>
      </c>
    </row>
    <row r="29" spans="1:19">
      <c r="A29" t="s">
        <v>31</v>
      </c>
      <c r="D29" s="82">
        <f>'Income Statement'!B40</f>
        <v>17328</v>
      </c>
      <c r="E29" s="15">
        <f>E25*(1-0.21)</f>
        <v>16169.720000000001</v>
      </c>
      <c r="F29" s="15">
        <f>F25*(1-0.21)</f>
        <v>19339.990000000002</v>
      </c>
      <c r="G29" s="15">
        <f t="shared" ref="G29:H29" si="2">G25*(1-0.21)</f>
        <v>16753.530000000002</v>
      </c>
      <c r="H29" s="15">
        <f t="shared" si="2"/>
        <v>17507.98</v>
      </c>
    </row>
    <row r="30" spans="1:19">
      <c r="A30" s="8" t="s">
        <v>32</v>
      </c>
      <c r="D30" s="14">
        <f>D28/D29</f>
        <v>0.1274815327793167</v>
      </c>
      <c r="E30" s="14">
        <f t="shared" ref="E30:H30" si="3">E28/E25</f>
        <v>0.22962673441469611</v>
      </c>
      <c r="F30" s="14">
        <f>F28/F25</f>
        <v>0.1919856215023896</v>
      </c>
      <c r="G30" s="14">
        <f t="shared" si="3"/>
        <v>0.18390154194369784</v>
      </c>
      <c r="H30" s="14">
        <f t="shared" si="3"/>
        <v>0.20305026622146016</v>
      </c>
    </row>
    <row r="33" spans="1:19" ht="15">
      <c r="A33" s="114" t="s">
        <v>33</v>
      </c>
      <c r="B33" s="115"/>
      <c r="C33" s="115"/>
      <c r="D33" s="116">
        <v>2019</v>
      </c>
      <c r="E33" s="116">
        <v>2020</v>
      </c>
      <c r="F33" s="116">
        <v>2021</v>
      </c>
      <c r="G33" s="116">
        <v>2022</v>
      </c>
      <c r="H33" s="116">
        <v>2023</v>
      </c>
      <c r="I33" s="116">
        <v>2024</v>
      </c>
      <c r="J33" s="116">
        <v>2025</v>
      </c>
      <c r="K33" s="116">
        <v>2026</v>
      </c>
      <c r="L33" s="116">
        <v>2027</v>
      </c>
      <c r="M33" s="116">
        <v>2028</v>
      </c>
      <c r="N33" s="116">
        <v>2029</v>
      </c>
    </row>
    <row r="34" spans="1:19">
      <c r="A34" t="s">
        <v>20</v>
      </c>
      <c r="D34" s="9">
        <f>'Statement of Cash Flows'!B6</f>
        <v>7009</v>
      </c>
      <c r="E34" s="9">
        <f>'Statement of Cash Flows'!C6</f>
        <v>7231</v>
      </c>
      <c r="F34" s="9">
        <f>'Statement of Cash Flows'!D6</f>
        <v>7390</v>
      </c>
      <c r="G34" s="9">
        <f>'Statement of Cash Flows'!E6</f>
        <v>6970</v>
      </c>
      <c r="H34" s="9">
        <f>'Statement of Cash Flows'!F6</f>
        <v>7486</v>
      </c>
      <c r="I34" s="9"/>
      <c r="J34" s="9"/>
      <c r="K34" s="9"/>
      <c r="L34" s="9"/>
      <c r="M34" s="9"/>
    </row>
    <row r="35" spans="1:19">
      <c r="A35" s="8" t="s">
        <v>29</v>
      </c>
      <c r="D35" s="14">
        <f>D34/D22</f>
        <v>8.5357982292694215E-2</v>
      </c>
      <c r="E35" s="14">
        <f>E34/E22</f>
        <v>8.7572058324855886E-2</v>
      </c>
      <c r="F35" s="14">
        <f>F34/F22</f>
        <v>7.8819940698393737E-2</v>
      </c>
      <c r="G35" s="14">
        <f>G34/G22</f>
        <v>8.7057530413929204E-2</v>
      </c>
      <c r="H35" s="14">
        <f>H34/H22</f>
        <v>8.791337842916197E-2</v>
      </c>
    </row>
    <row r="36" spans="1:19">
      <c r="A36" s="8" t="s">
        <v>34</v>
      </c>
      <c r="D36" s="14"/>
      <c r="E36" s="14">
        <f t="shared" ref="E36:H36" si="4">E34/E38</f>
        <v>6.5261732851985563</v>
      </c>
      <c r="F36" s="14">
        <f t="shared" si="4"/>
        <v>37.704081632653065</v>
      </c>
      <c r="G36" s="14">
        <f t="shared" si="4"/>
        <v>-7.1122448979591839</v>
      </c>
      <c r="H36" s="14">
        <f t="shared" si="4"/>
        <v>3.9070981210855948</v>
      </c>
    </row>
    <row r="38" spans="1:19">
      <c r="A38" t="s">
        <v>35</v>
      </c>
      <c r="D38" s="9">
        <f>'Balance Sheet'!B51</f>
        <v>0</v>
      </c>
      <c r="E38" s="9">
        <f>'Balance Sheet'!C51</f>
        <v>1108</v>
      </c>
      <c r="F38" s="9">
        <f>'Balance Sheet'!D51</f>
        <v>196</v>
      </c>
      <c r="G38" s="9">
        <f>'Balance Sheet'!E51</f>
        <v>-980</v>
      </c>
      <c r="H38" s="9">
        <f>'Balance Sheet'!F51</f>
        <v>1916</v>
      </c>
    </row>
    <row r="39" spans="1:19">
      <c r="A39" s="8" t="s">
        <v>29</v>
      </c>
      <c r="D39" s="14">
        <f>D38/D22</f>
        <v>0</v>
      </c>
      <c r="E39" s="14">
        <f>E38/E22</f>
        <v>1.34185922588771E-2</v>
      </c>
      <c r="F39" s="14">
        <f>F38/F22</f>
        <v>2.090488278333582E-3</v>
      </c>
      <c r="G39" s="14">
        <f>G38/G22</f>
        <v>-1.2240513601958483E-2</v>
      </c>
      <c r="H39" s="14">
        <f>H38/H22</f>
        <v>2.2500939496429912E-2</v>
      </c>
    </row>
    <row r="41" spans="1:19">
      <c r="A41" t="s">
        <v>22</v>
      </c>
      <c r="D41" s="19">
        <f>'Balance Sheet'!B52</f>
        <v>9310</v>
      </c>
      <c r="E41" s="19">
        <f>'Balance Sheet'!C52</f>
        <v>8744</v>
      </c>
      <c r="F41" s="19">
        <f>'Balance Sheet'!D52</f>
        <v>15753</v>
      </c>
      <c r="G41" s="19">
        <f>'Balance Sheet'!E52</f>
        <v>-508</v>
      </c>
      <c r="H41" s="19">
        <f>'Balance Sheet'!F52</f>
        <v>7213</v>
      </c>
    </row>
    <row r="42" spans="1:19">
      <c r="A42" t="s">
        <v>36</v>
      </c>
      <c r="E42" s="19">
        <f>E41-D41</f>
        <v>-566</v>
      </c>
      <c r="F42" s="19">
        <f t="shared" ref="F42:H42" si="5">F41-E41</f>
        <v>7009</v>
      </c>
      <c r="G42" s="19">
        <f t="shared" si="5"/>
        <v>-16261</v>
      </c>
      <c r="H42" s="19">
        <f t="shared" si="5"/>
        <v>7721</v>
      </c>
    </row>
    <row r="43" spans="1:19">
      <c r="A43" s="8" t="s">
        <v>29</v>
      </c>
      <c r="E43" s="14">
        <f>E42/E22</f>
        <v>-6.8546238434336092E-3</v>
      </c>
      <c r="F43" s="14">
        <f>F42/F22</f>
        <v>7.4756287463469781E-2</v>
      </c>
      <c r="G43" s="14">
        <f>G42/G22</f>
        <v>-0.20310509355249681</v>
      </c>
      <c r="H43" s="14">
        <f>H42/H22</f>
        <v>9.0673149192033065E-2</v>
      </c>
    </row>
    <row r="44" spans="1:19">
      <c r="A44" s="8" t="s">
        <v>37</v>
      </c>
      <c r="E44" s="14">
        <f>E42/(E22-D22)</f>
        <v>-1.233115468409586</v>
      </c>
      <c r="F44" s="14">
        <f>F42/(F22-E22)</f>
        <v>0.62658680493473984</v>
      </c>
      <c r="G44" s="14">
        <f>G42/(G22-F22)</f>
        <v>1.1872809579439252</v>
      </c>
      <c r="H44" s="14">
        <f>H42/(H22-G22)</f>
        <v>1.5168958742632612</v>
      </c>
    </row>
    <row r="46" spans="1:19">
      <c r="I46">
        <v>1</v>
      </c>
      <c r="J46">
        <v>2</v>
      </c>
      <c r="K46">
        <v>3</v>
      </c>
      <c r="L46">
        <v>4</v>
      </c>
      <c r="M46">
        <v>5</v>
      </c>
      <c r="N46">
        <v>6</v>
      </c>
      <c r="O46">
        <v>7</v>
      </c>
      <c r="P46">
        <v>8</v>
      </c>
      <c r="Q46">
        <v>9</v>
      </c>
      <c r="R46">
        <v>10</v>
      </c>
    </row>
    <row r="47" spans="1:19" ht="15">
      <c r="A47" s="114" t="s">
        <v>38</v>
      </c>
      <c r="B47" s="115"/>
      <c r="C47" s="115"/>
      <c r="D47" s="116">
        <v>2019</v>
      </c>
      <c r="E47" s="116">
        <v>2020</v>
      </c>
      <c r="F47" s="116">
        <v>2021</v>
      </c>
      <c r="G47" s="116">
        <v>2022</v>
      </c>
      <c r="H47" s="116">
        <v>2023</v>
      </c>
      <c r="I47" s="116">
        <v>2024</v>
      </c>
      <c r="J47" s="116">
        <v>2025</v>
      </c>
      <c r="K47" s="116">
        <v>2026</v>
      </c>
      <c r="L47" s="116">
        <v>2027</v>
      </c>
      <c r="M47" s="116">
        <v>2028</v>
      </c>
      <c r="N47" s="116">
        <v>2029</v>
      </c>
      <c r="O47" s="89">
        <v>2030</v>
      </c>
      <c r="P47" s="89">
        <v>2031</v>
      </c>
      <c r="Q47" s="89">
        <v>2032</v>
      </c>
      <c r="R47" s="89">
        <v>2033</v>
      </c>
      <c r="S47" s="20"/>
    </row>
    <row r="48" spans="1:19">
      <c r="A48" t="s">
        <v>15</v>
      </c>
      <c r="D48" s="29">
        <f>D22</f>
        <v>82113</v>
      </c>
      <c r="E48" s="29">
        <f t="shared" ref="E48:H48" si="6">E22</f>
        <v>82572</v>
      </c>
      <c r="F48" s="29">
        <f t="shared" si="6"/>
        <v>93758</v>
      </c>
      <c r="G48" s="29">
        <f t="shared" si="6"/>
        <v>80062</v>
      </c>
      <c r="H48" s="29">
        <f t="shared" si="6"/>
        <v>85152</v>
      </c>
      <c r="I48" s="29">
        <f ca="1">H48*(1+I49)</f>
        <v>87706.559999999998</v>
      </c>
      <c r="J48" s="29">
        <f t="shared" ref="J48:R48" ca="1" si="7">I48*(1+J49)</f>
        <v>90305.272888888896</v>
      </c>
      <c r="K48" s="29">
        <f t="shared" ca="1" si="7"/>
        <v>92947.538280823064</v>
      </c>
      <c r="L48" s="29">
        <f t="shared" ca="1" si="7"/>
        <v>95632.689386713522</v>
      </c>
      <c r="M48" s="29">
        <f t="shared" ca="1" si="7"/>
        <v>98359.992009964248</v>
      </c>
      <c r="N48" s="29">
        <f t="shared" ca="1" si="7"/>
        <v>101128.64363691138</v>
      </c>
      <c r="O48" s="29">
        <f t="shared" ca="1" si="7"/>
        <v>103937.77262682558</v>
      </c>
      <c r="P48" s="29">
        <f t="shared" ca="1" si="7"/>
        <v>106786.43750622746</v>
      </c>
      <c r="Q48" s="29">
        <f t="shared" ca="1" si="7"/>
        <v>109673.62637213657</v>
      </c>
      <c r="R48" s="29">
        <f t="shared" ca="1" si="7"/>
        <v>112598.25640872687</v>
      </c>
    </row>
    <row r="49" spans="1:19">
      <c r="A49" t="s">
        <v>39</v>
      </c>
      <c r="E49" s="21">
        <f>E23</f>
        <v>5.5898578787767494E-3</v>
      </c>
      <c r="F49" s="21">
        <f t="shared" ref="F49:H49" si="8">F23</f>
        <v>0.1354696507290607</v>
      </c>
      <c r="G49" s="21">
        <f t="shared" si="8"/>
        <v>-0.14607820132682015</v>
      </c>
      <c r="H49" s="21">
        <f t="shared" si="8"/>
        <v>6.357572881017215E-2</v>
      </c>
      <c r="I49" s="28">
        <f ca="1">OFFSET(I49,$C$8,0)</f>
        <v>0.03</v>
      </c>
      <c r="J49" s="28">
        <f t="shared" ref="J49:R49" ca="1" si="9">OFFSET(J49,$C$8,0)</f>
        <v>2.9629629629629627E-2</v>
      </c>
      <c r="K49" s="28">
        <f t="shared" ca="1" si="9"/>
        <v>2.9259259259259256E-2</v>
      </c>
      <c r="L49" s="28">
        <f t="shared" ca="1" si="9"/>
        <v>2.8888888888888884E-2</v>
      </c>
      <c r="M49" s="28">
        <f t="shared" ca="1" si="9"/>
        <v>2.8518518518518512E-2</v>
      </c>
      <c r="N49" s="28">
        <f t="shared" ca="1" si="9"/>
        <v>2.8148148148148141E-2</v>
      </c>
      <c r="O49" s="28">
        <f t="shared" ca="1" si="9"/>
        <v>2.7777777777777769E-2</v>
      </c>
      <c r="P49" s="28">
        <f t="shared" ca="1" si="9"/>
        <v>2.7407407407407398E-2</v>
      </c>
      <c r="Q49" s="28">
        <f t="shared" ca="1" si="9"/>
        <v>2.7037037037037026E-2</v>
      </c>
      <c r="R49" s="28">
        <f t="shared" ca="1" si="9"/>
        <v>2.6666666666666655E-2</v>
      </c>
    </row>
    <row r="50" spans="1:19">
      <c r="A50" t="s">
        <v>40</v>
      </c>
      <c r="I50" s="26">
        <f>F7</f>
        <v>0.01</v>
      </c>
      <c r="J50" s="26">
        <f>I50-(($I50-$R50)/9)</f>
        <v>1.1111111111111112E-2</v>
      </c>
      <c r="K50" s="26">
        <f t="shared" ref="K50:Q51" si="10">J50-(($I50-$R50)/9)</f>
        <v>1.2222222222222223E-2</v>
      </c>
      <c r="L50" s="26">
        <f t="shared" si="10"/>
        <v>1.3333333333333334E-2</v>
      </c>
      <c r="M50" s="26">
        <f t="shared" si="10"/>
        <v>1.4444444444444446E-2</v>
      </c>
      <c r="N50" s="26">
        <f t="shared" si="10"/>
        <v>1.5555555555555557E-2</v>
      </c>
      <c r="O50" s="26">
        <f t="shared" si="10"/>
        <v>1.6666666666666666E-2</v>
      </c>
      <c r="P50" s="26">
        <f t="shared" si="10"/>
        <v>1.7777777777777778E-2</v>
      </c>
      <c r="Q50" s="26">
        <f t="shared" si="10"/>
        <v>1.8888888888888889E-2</v>
      </c>
      <c r="R50" s="26">
        <f>F8</f>
        <v>0.02</v>
      </c>
    </row>
    <row r="51" spans="1:19">
      <c r="A51" t="s">
        <v>41</v>
      </c>
      <c r="I51" s="26">
        <f>H7</f>
        <v>0.03</v>
      </c>
      <c r="J51" s="26">
        <f ca="1">I51-(($I51-$R51)/9)</f>
        <v>2.9629629629629627E-2</v>
      </c>
      <c r="K51" s="26">
        <f t="shared" ca="1" si="10"/>
        <v>2.9259259259259256E-2</v>
      </c>
      <c r="L51" s="26">
        <f t="shared" ca="1" si="10"/>
        <v>2.8888888888888884E-2</v>
      </c>
      <c r="M51" s="26">
        <f t="shared" ca="1" si="10"/>
        <v>2.8518518518518512E-2</v>
      </c>
      <c r="N51" s="26">
        <f t="shared" ca="1" si="10"/>
        <v>2.8148148148148141E-2</v>
      </c>
      <c r="O51" s="26">
        <f t="shared" ca="1" si="10"/>
        <v>2.7777777777777769E-2</v>
      </c>
      <c r="P51" s="26">
        <f t="shared" ca="1" si="10"/>
        <v>2.7407407407407398E-2</v>
      </c>
      <c r="Q51" s="26">
        <f t="shared" ca="1" si="10"/>
        <v>2.7037037037037026E-2</v>
      </c>
      <c r="R51" s="26">
        <f t="shared" ref="R51" ca="1" si="11">Q51-(($I51-$R51)/9)</f>
        <v>2.6666666666666655E-2</v>
      </c>
      <c r="S51" s="1" t="s">
        <v>42</v>
      </c>
    </row>
    <row r="52" spans="1:19">
      <c r="A52" t="s">
        <v>43</v>
      </c>
      <c r="I52" s="26">
        <f>J7</f>
        <v>0.08</v>
      </c>
      <c r="J52" s="26">
        <f>I52-(($I52-$R52)/9)</f>
        <v>7.6666666666666675E-2</v>
      </c>
      <c r="K52" s="26">
        <f t="shared" ref="K52:Q52" si="12">J52-(($I52-$R52)/9)</f>
        <v>7.3333333333333348E-2</v>
      </c>
      <c r="L52" s="26">
        <f t="shared" si="12"/>
        <v>7.0000000000000021E-2</v>
      </c>
      <c r="M52" s="26">
        <f t="shared" si="12"/>
        <v>6.6666666666666693E-2</v>
      </c>
      <c r="N52" s="26">
        <f t="shared" si="12"/>
        <v>6.3333333333333366E-2</v>
      </c>
      <c r="O52" s="26">
        <f t="shared" si="12"/>
        <v>6.0000000000000032E-2</v>
      </c>
      <c r="P52" s="26">
        <f t="shared" si="12"/>
        <v>5.6666666666666698E-2</v>
      </c>
      <c r="Q52" s="26">
        <f t="shared" si="12"/>
        <v>5.3333333333333365E-2</v>
      </c>
      <c r="R52" s="26">
        <f>J8</f>
        <v>0.05</v>
      </c>
    </row>
    <row r="54" spans="1:19">
      <c r="A54" t="s">
        <v>18</v>
      </c>
      <c r="D54" s="18">
        <f>D25</f>
        <v>21550</v>
      </c>
      <c r="E54" s="18">
        <f t="shared" ref="E54:H54" si="13">E25</f>
        <v>20468</v>
      </c>
      <c r="F54" s="18">
        <f>F25</f>
        <v>24481</v>
      </c>
      <c r="G54" s="18">
        <f t="shared" si="13"/>
        <v>21207</v>
      </c>
      <c r="H54" s="18">
        <f t="shared" si="13"/>
        <v>22162</v>
      </c>
      <c r="I54" s="18">
        <f ca="1">I48*(I55)</f>
        <v>22668.075908750339</v>
      </c>
      <c r="J54" s="18">
        <f t="shared" ref="J54:R54" ca="1" si="14">J48*(J55)</f>
        <v>23339.722602342947</v>
      </c>
      <c r="K54" s="18">
        <f t="shared" ca="1" si="14"/>
        <v>24022.625597004095</v>
      </c>
      <c r="L54" s="18">
        <f t="shared" ca="1" si="14"/>
        <v>24716.612558695328</v>
      </c>
      <c r="M54" s="18">
        <f t="shared" ca="1" si="14"/>
        <v>25421.493731665531</v>
      </c>
      <c r="N54" s="18">
        <f t="shared" ca="1" si="14"/>
        <v>26137.061703371666</v>
      </c>
      <c r="O54" s="18">
        <f t="shared" ca="1" si="14"/>
        <v>26863.09119513199</v>
      </c>
      <c r="P54" s="18">
        <f t="shared" ca="1" si="14"/>
        <v>27599.338879739313</v>
      </c>
      <c r="Q54" s="18">
        <f t="shared" ca="1" si="14"/>
        <v>28345.543227228558</v>
      </c>
      <c r="R54" s="18">
        <f t="shared" ca="1" si="14"/>
        <v>29101.424379954649</v>
      </c>
    </row>
    <row r="55" spans="1:19">
      <c r="A55" t="s">
        <v>29</v>
      </c>
      <c r="D55" s="21">
        <f>D26</f>
        <v>0.26244321849159086</v>
      </c>
      <c r="E55" s="21">
        <f>E26</f>
        <v>0.24788063750423872</v>
      </c>
      <c r="F55" s="21">
        <f t="shared" ref="F55:H55" si="15">F26</f>
        <v>0.2611083854177777</v>
      </c>
      <c r="G55" s="21">
        <f t="shared" si="15"/>
        <v>0.26488221628238118</v>
      </c>
      <c r="H55" s="21">
        <f t="shared" si="15"/>
        <v>0.2602639984968057</v>
      </c>
      <c r="I55" s="21">
        <f ca="1">OFFSET(I55,$C$9,0)</f>
        <v>0.25845359695728964</v>
      </c>
      <c r="J55" s="21">
        <f t="shared" ref="J55:R55" ca="1" si="16">OFFSET(J55,$C$9,0)</f>
        <v>0.25845359695728964</v>
      </c>
      <c r="K55" s="21">
        <f t="shared" ca="1" si="16"/>
        <v>0.25845359695728964</v>
      </c>
      <c r="L55" s="21">
        <f t="shared" ca="1" si="16"/>
        <v>0.25845359695728964</v>
      </c>
      <c r="M55" s="21">
        <f t="shared" ca="1" si="16"/>
        <v>0.25845359695728964</v>
      </c>
      <c r="N55" s="21">
        <f t="shared" ca="1" si="16"/>
        <v>0.25845359695728964</v>
      </c>
      <c r="O55" s="21">
        <f t="shared" ca="1" si="16"/>
        <v>0.25845359695728964</v>
      </c>
      <c r="P55" s="21">
        <f t="shared" ca="1" si="16"/>
        <v>0.25845359695728964</v>
      </c>
      <c r="Q55" s="21">
        <f t="shared" ca="1" si="16"/>
        <v>0.25845359695728964</v>
      </c>
      <c r="R55" s="21">
        <f t="shared" ca="1" si="16"/>
        <v>0.25845359695728964</v>
      </c>
    </row>
    <row r="56" spans="1:19">
      <c r="A56" t="s">
        <v>40</v>
      </c>
      <c r="I56" s="26">
        <f>F9</f>
        <v>0.08</v>
      </c>
      <c r="J56" s="26">
        <f>I56</f>
        <v>0.08</v>
      </c>
      <c r="K56" s="26">
        <f t="shared" ref="K56:Q56" si="17">J56</f>
        <v>0.08</v>
      </c>
      <c r="L56" s="26">
        <f t="shared" si="17"/>
        <v>0.08</v>
      </c>
      <c r="M56" s="26">
        <f t="shared" si="17"/>
        <v>0.08</v>
      </c>
      <c r="N56" s="26">
        <f t="shared" si="17"/>
        <v>0.08</v>
      </c>
      <c r="O56" s="26">
        <f t="shared" si="17"/>
        <v>0.08</v>
      </c>
      <c r="P56" s="26">
        <f t="shared" si="17"/>
        <v>0.08</v>
      </c>
      <c r="Q56" s="26">
        <f t="shared" si="17"/>
        <v>0.08</v>
      </c>
      <c r="R56" s="26">
        <f t="shared" ref="R56:R58" si="18">Q56</f>
        <v>0.08</v>
      </c>
    </row>
    <row r="57" spans="1:19">
      <c r="A57" t="s">
        <v>41</v>
      </c>
      <c r="I57" s="26">
        <f>H9</f>
        <v>0.25845359695728964</v>
      </c>
      <c r="J57" s="26">
        <f>I57</f>
        <v>0.25845359695728964</v>
      </c>
      <c r="K57" s="26">
        <f t="shared" ref="K57:Q57" si="19">J57</f>
        <v>0.25845359695728964</v>
      </c>
      <c r="L57" s="26">
        <f t="shared" si="19"/>
        <v>0.25845359695728964</v>
      </c>
      <c r="M57" s="26">
        <f t="shared" si="19"/>
        <v>0.25845359695728964</v>
      </c>
      <c r="N57" s="26">
        <f t="shared" si="19"/>
        <v>0.25845359695728964</v>
      </c>
      <c r="O57" s="26">
        <f t="shared" si="19"/>
        <v>0.25845359695728964</v>
      </c>
      <c r="P57" s="26">
        <f t="shared" si="19"/>
        <v>0.25845359695728964</v>
      </c>
      <c r="Q57" s="26">
        <f t="shared" si="19"/>
        <v>0.25845359695728964</v>
      </c>
      <c r="R57" s="26">
        <f t="shared" si="18"/>
        <v>0.25845359695728964</v>
      </c>
    </row>
    <row r="58" spans="1:19">
      <c r="A58" t="s">
        <v>43</v>
      </c>
      <c r="I58" s="26">
        <f>J9</f>
        <v>0.3</v>
      </c>
      <c r="J58" s="26">
        <f>I58</f>
        <v>0.3</v>
      </c>
      <c r="K58" s="26">
        <f t="shared" ref="K58:Q58" si="20">J58</f>
        <v>0.3</v>
      </c>
      <c r="L58" s="26">
        <f t="shared" si="20"/>
        <v>0.3</v>
      </c>
      <c r="M58" s="26">
        <f t="shared" si="20"/>
        <v>0.3</v>
      </c>
      <c r="N58" s="26">
        <f t="shared" si="20"/>
        <v>0.3</v>
      </c>
      <c r="O58" s="26">
        <f t="shared" si="20"/>
        <v>0.3</v>
      </c>
      <c r="P58" s="26">
        <f t="shared" si="20"/>
        <v>0.3</v>
      </c>
      <c r="Q58" s="26">
        <f t="shared" si="20"/>
        <v>0.3</v>
      </c>
      <c r="R58" s="26">
        <f t="shared" si="18"/>
        <v>0.3</v>
      </c>
    </row>
    <row r="60" spans="1:19">
      <c r="A60" t="s">
        <v>19</v>
      </c>
      <c r="D60" s="18">
        <f>D28</f>
        <v>2209</v>
      </c>
      <c r="E60" s="18">
        <f t="shared" ref="E60:H60" si="21">E28</f>
        <v>4700</v>
      </c>
      <c r="F60" s="18">
        <f t="shared" si="21"/>
        <v>4700</v>
      </c>
      <c r="G60" s="18">
        <f t="shared" si="21"/>
        <v>3900</v>
      </c>
      <c r="H60" s="18">
        <f t="shared" si="21"/>
        <v>4500</v>
      </c>
      <c r="I60" s="18">
        <f ca="1">I54*(I61)</f>
        <v>4243.6709821033928</v>
      </c>
      <c r="J60" s="18">
        <f t="shared" ref="J60" ca="1" si="22">J54*(J61)</f>
        <v>4369.409381573123</v>
      </c>
      <c r="K60" s="18">
        <f t="shared" ref="K60" ca="1" si="23">K54*(K61)</f>
        <v>4497.255063478412</v>
      </c>
      <c r="L60" s="18">
        <f t="shared" ref="L60" ca="1" si="24">L54*(L61)</f>
        <v>4627.1757653122331</v>
      </c>
      <c r="M60" s="18">
        <f t="shared" ref="M60" ca="1" si="25">M54*(M61)</f>
        <v>4759.1359630637307</v>
      </c>
      <c r="N60" s="18">
        <f t="shared" ref="N60" ca="1" si="26">N54*(N61)</f>
        <v>4893.0968272092268</v>
      </c>
      <c r="O60" s="18">
        <f t="shared" ref="O60" ca="1" si="27">O54*(O61)</f>
        <v>5029.0161835205945</v>
      </c>
      <c r="P60" s="18">
        <f t="shared" ref="P60" ca="1" si="28">P54*(P61)</f>
        <v>5166.8484789207887</v>
      </c>
      <c r="Q60" s="18">
        <f t="shared" ref="Q60" ca="1" si="29">Q54*(Q61)</f>
        <v>5306.5447526101279</v>
      </c>
      <c r="R60" s="18">
        <f t="shared" ref="R60" ca="1" si="30">R54*(R61)</f>
        <v>5448.0526126797313</v>
      </c>
    </row>
    <row r="61" spans="1:19">
      <c r="A61" t="s">
        <v>44</v>
      </c>
      <c r="D61" s="21">
        <f>D30</f>
        <v>0.1274815327793167</v>
      </c>
      <c r="E61" s="21">
        <f t="shared" ref="E61:H61" si="31">E30</f>
        <v>0.22962673441469611</v>
      </c>
      <c r="F61" s="21">
        <f t="shared" si="31"/>
        <v>0.1919856215023896</v>
      </c>
      <c r="G61" s="21">
        <f t="shared" si="31"/>
        <v>0.18390154194369784</v>
      </c>
      <c r="H61" s="21">
        <f t="shared" si="31"/>
        <v>0.20305026622146016</v>
      </c>
      <c r="I61" s="21">
        <f ca="1">OFFSET(I61,$C$10,0)</f>
        <v>0.18720913937231209</v>
      </c>
      <c r="J61" s="21">
        <f t="shared" ref="J61:R61" ca="1" si="32">OFFSET(J61,$C$10,0)</f>
        <v>0.18720913937231209</v>
      </c>
      <c r="K61" s="21">
        <f t="shared" ca="1" si="32"/>
        <v>0.18720913937231209</v>
      </c>
      <c r="L61" s="21">
        <f t="shared" ca="1" si="32"/>
        <v>0.18720913937231209</v>
      </c>
      <c r="M61" s="21">
        <f t="shared" ca="1" si="32"/>
        <v>0.18720913937231209</v>
      </c>
      <c r="N61" s="21">
        <f t="shared" ca="1" si="32"/>
        <v>0.18720913937231209</v>
      </c>
      <c r="O61" s="21">
        <f t="shared" ca="1" si="32"/>
        <v>0.18720913937231209</v>
      </c>
      <c r="P61" s="21">
        <f t="shared" ca="1" si="32"/>
        <v>0.18720913937231209</v>
      </c>
      <c r="Q61" s="21">
        <f t="shared" ca="1" si="32"/>
        <v>0.18720913937231209</v>
      </c>
      <c r="R61" s="21">
        <f t="shared" ca="1" si="32"/>
        <v>0.18720913937231209</v>
      </c>
    </row>
    <row r="62" spans="1:19">
      <c r="A62" t="s">
        <v>40</v>
      </c>
      <c r="I62" s="26">
        <f>F10</f>
        <v>0.21</v>
      </c>
      <c r="J62" s="26">
        <f>I62</f>
        <v>0.21</v>
      </c>
      <c r="K62" s="26">
        <f t="shared" ref="K62:R64" si="33">J62</f>
        <v>0.21</v>
      </c>
      <c r="L62" s="26">
        <f t="shared" si="33"/>
        <v>0.21</v>
      </c>
      <c r="M62" s="26">
        <f t="shared" si="33"/>
        <v>0.21</v>
      </c>
      <c r="N62" s="26">
        <f t="shared" si="33"/>
        <v>0.21</v>
      </c>
      <c r="O62" s="26">
        <f t="shared" si="33"/>
        <v>0.21</v>
      </c>
      <c r="P62" s="26">
        <f t="shared" si="33"/>
        <v>0.21</v>
      </c>
      <c r="Q62" s="26">
        <f t="shared" si="33"/>
        <v>0.21</v>
      </c>
      <c r="R62" s="26">
        <f t="shared" si="33"/>
        <v>0.21</v>
      </c>
    </row>
    <row r="63" spans="1:19">
      <c r="A63" t="s">
        <v>41</v>
      </c>
      <c r="I63" s="26">
        <f>H10</f>
        <v>0.18720913937231209</v>
      </c>
      <c r="J63" s="26">
        <f>I63</f>
        <v>0.18720913937231209</v>
      </c>
      <c r="K63" s="26">
        <f t="shared" ref="K63:Q63" si="34">J63</f>
        <v>0.18720913937231209</v>
      </c>
      <c r="L63" s="26">
        <f t="shared" si="34"/>
        <v>0.18720913937231209</v>
      </c>
      <c r="M63" s="26">
        <f t="shared" si="34"/>
        <v>0.18720913937231209</v>
      </c>
      <c r="N63" s="26">
        <f t="shared" si="34"/>
        <v>0.18720913937231209</v>
      </c>
      <c r="O63" s="26">
        <f t="shared" si="34"/>
        <v>0.18720913937231209</v>
      </c>
      <c r="P63" s="26">
        <f t="shared" si="34"/>
        <v>0.18720913937231209</v>
      </c>
      <c r="Q63" s="26">
        <f t="shared" si="34"/>
        <v>0.18720913937231209</v>
      </c>
      <c r="R63" s="26">
        <f t="shared" si="33"/>
        <v>0.18720913937231209</v>
      </c>
    </row>
    <row r="64" spans="1:19">
      <c r="A64" t="s">
        <v>43</v>
      </c>
      <c r="I64" s="26">
        <f>J10</f>
        <v>0</v>
      </c>
      <c r="J64" s="26">
        <f>I64</f>
        <v>0</v>
      </c>
      <c r="K64" s="26">
        <f>J64</f>
        <v>0</v>
      </c>
      <c r="L64" s="26">
        <f t="shared" ref="L64:Q64" si="35">K64</f>
        <v>0</v>
      </c>
      <c r="M64" s="26">
        <f t="shared" si="35"/>
        <v>0</v>
      </c>
      <c r="N64" s="26">
        <f t="shared" si="35"/>
        <v>0</v>
      </c>
      <c r="O64" s="26">
        <f t="shared" si="35"/>
        <v>0</v>
      </c>
      <c r="P64" s="26">
        <f t="shared" si="35"/>
        <v>0</v>
      </c>
      <c r="Q64" s="26">
        <f t="shared" si="35"/>
        <v>0</v>
      </c>
      <c r="R64" s="26">
        <f t="shared" si="33"/>
        <v>0</v>
      </c>
    </row>
    <row r="66" spans="1:18" ht="15">
      <c r="A66" s="117" t="s">
        <v>45</v>
      </c>
      <c r="B66" s="31"/>
      <c r="C66" s="31"/>
      <c r="D66" s="31"/>
      <c r="E66" s="31"/>
      <c r="F66" s="31"/>
      <c r="G66" s="31"/>
      <c r="H66" s="31"/>
      <c r="I66" s="32">
        <f ca="1">I54-I60</f>
        <v>18424.404926646945</v>
      </c>
      <c r="J66" s="32">
        <f t="shared" ref="J66:R66" ca="1" si="36">J54-J60</f>
        <v>18970.313220769822</v>
      </c>
      <c r="K66" s="32">
        <f t="shared" ca="1" si="36"/>
        <v>19525.370533525682</v>
      </c>
      <c r="L66" s="32">
        <f t="shared" ca="1" si="36"/>
        <v>20089.436793383094</v>
      </c>
      <c r="M66" s="32">
        <f t="shared" ca="1" si="36"/>
        <v>20662.3577686018</v>
      </c>
      <c r="N66" s="32">
        <f t="shared" ca="1" si="36"/>
        <v>21243.964876162441</v>
      </c>
      <c r="O66" s="32">
        <f t="shared" ca="1" si="36"/>
        <v>21834.075011611396</v>
      </c>
      <c r="P66" s="32">
        <f t="shared" ca="1" si="36"/>
        <v>22432.490400818526</v>
      </c>
      <c r="Q66" s="32">
        <f t="shared" ca="1" si="36"/>
        <v>23038.998474618431</v>
      </c>
      <c r="R66" s="32">
        <f t="shared" ca="1" si="36"/>
        <v>23653.371767274919</v>
      </c>
    </row>
    <row r="68" spans="1:18">
      <c r="A68" t="s">
        <v>20</v>
      </c>
      <c r="D68" s="18">
        <f>D34</f>
        <v>7009</v>
      </c>
      <c r="E68" s="18">
        <f t="shared" ref="E68:H68" si="37">E34</f>
        <v>7231</v>
      </c>
      <c r="F68" s="18">
        <f t="shared" si="37"/>
        <v>7390</v>
      </c>
      <c r="G68" s="18">
        <f t="shared" si="37"/>
        <v>6970</v>
      </c>
      <c r="H68" s="18">
        <f t="shared" si="37"/>
        <v>7486</v>
      </c>
      <c r="I68" s="18">
        <f ca="1">I48*I69</f>
        <v>7485.2442711973627</v>
      </c>
      <c r="J68" s="18">
        <f t="shared" ref="J68:R68" ca="1" si="38">J48*J69</f>
        <v>7707.0292866402488</v>
      </c>
      <c r="K68" s="18">
        <f t="shared" ca="1" si="38"/>
        <v>7932.5312546567611</v>
      </c>
      <c r="L68" s="18">
        <f t="shared" ca="1" si="38"/>
        <v>8161.6932686801792</v>
      </c>
      <c r="M68" s="18">
        <f t="shared" ca="1" si="38"/>
        <v>8394.4526693055032</v>
      </c>
      <c r="N68" s="18">
        <f t="shared" ca="1" si="38"/>
        <v>8630.7409666637323</v>
      </c>
      <c r="O68" s="18">
        <f t="shared" ca="1" si="38"/>
        <v>8870.4837712932786</v>
      </c>
      <c r="P68" s="18">
        <f t="shared" ca="1" si="38"/>
        <v>9113.6007339139105</v>
      </c>
      <c r="Q68" s="18">
        <f t="shared" ca="1" si="38"/>
        <v>9360.0054944975072</v>
      </c>
      <c r="R68" s="18">
        <f t="shared" ca="1" si="38"/>
        <v>9609.6056410174406</v>
      </c>
    </row>
    <row r="69" spans="1:18">
      <c r="A69" t="s">
        <v>46</v>
      </c>
      <c r="D69" s="21">
        <f>D35</f>
        <v>8.5357982292694215E-2</v>
      </c>
      <c r="E69" s="21">
        <f t="shared" ref="E69:H69" si="39">E35</f>
        <v>8.7572058324855886E-2</v>
      </c>
      <c r="F69" s="21">
        <f t="shared" si="39"/>
        <v>7.8819940698393737E-2</v>
      </c>
      <c r="G69" s="21">
        <f t="shared" si="39"/>
        <v>8.7057530413929204E-2</v>
      </c>
      <c r="H69" s="21">
        <f t="shared" si="39"/>
        <v>8.791337842916197E-2</v>
      </c>
      <c r="I69" s="21">
        <f ca="1">OFFSET(I69,$C$11,0)</f>
        <v>8.5344178031807008E-2</v>
      </c>
      <c r="J69" s="21">
        <f t="shared" ref="J69:R69" ca="1" si="40">OFFSET(J69,$C$11,0)</f>
        <v>8.5344178031807008E-2</v>
      </c>
      <c r="K69" s="21">
        <f t="shared" ca="1" si="40"/>
        <v>8.5344178031807008E-2</v>
      </c>
      <c r="L69" s="21">
        <f t="shared" ca="1" si="40"/>
        <v>8.5344178031807008E-2</v>
      </c>
      <c r="M69" s="21">
        <f t="shared" ca="1" si="40"/>
        <v>8.5344178031807008E-2</v>
      </c>
      <c r="N69" s="21">
        <f t="shared" ca="1" si="40"/>
        <v>8.5344178031807008E-2</v>
      </c>
      <c r="O69" s="21">
        <f t="shared" ca="1" si="40"/>
        <v>8.5344178031807008E-2</v>
      </c>
      <c r="P69" s="21">
        <f t="shared" ca="1" si="40"/>
        <v>8.5344178031807008E-2</v>
      </c>
      <c r="Q69" s="21">
        <f t="shared" ca="1" si="40"/>
        <v>8.5344178031807008E-2</v>
      </c>
      <c r="R69" s="21">
        <f t="shared" ca="1" si="40"/>
        <v>8.5344178031807008E-2</v>
      </c>
    </row>
    <row r="70" spans="1:18">
      <c r="A70" t="s">
        <v>40</v>
      </c>
      <c r="I70" s="26">
        <f>F11</f>
        <v>8.0344178031807004E-2</v>
      </c>
      <c r="J70" s="26">
        <f>I70</f>
        <v>8.0344178031807004E-2</v>
      </c>
      <c r="K70" s="26">
        <f t="shared" ref="K70:R70" si="41">J70</f>
        <v>8.0344178031807004E-2</v>
      </c>
      <c r="L70" s="26">
        <f t="shared" si="41"/>
        <v>8.0344178031807004E-2</v>
      </c>
      <c r="M70" s="26">
        <f t="shared" si="41"/>
        <v>8.0344178031807004E-2</v>
      </c>
      <c r="N70" s="26">
        <f t="shared" si="41"/>
        <v>8.0344178031807004E-2</v>
      </c>
      <c r="O70" s="26">
        <f t="shared" si="41"/>
        <v>8.0344178031807004E-2</v>
      </c>
      <c r="P70" s="26">
        <f t="shared" si="41"/>
        <v>8.0344178031807004E-2</v>
      </c>
      <c r="Q70" s="26">
        <f t="shared" si="41"/>
        <v>8.0344178031807004E-2</v>
      </c>
      <c r="R70" s="26">
        <f t="shared" si="41"/>
        <v>8.0344178031807004E-2</v>
      </c>
    </row>
    <row r="71" spans="1:18">
      <c r="A71" t="s">
        <v>41</v>
      </c>
      <c r="I71" s="26">
        <f>H11</f>
        <v>8.5344178031807008E-2</v>
      </c>
      <c r="J71" s="26">
        <f>I71</f>
        <v>8.5344178031807008E-2</v>
      </c>
      <c r="K71" s="26">
        <f t="shared" ref="K71:R71" si="42">J71</f>
        <v>8.5344178031807008E-2</v>
      </c>
      <c r="L71" s="26">
        <f t="shared" si="42"/>
        <v>8.5344178031807008E-2</v>
      </c>
      <c r="M71" s="26">
        <f t="shared" si="42"/>
        <v>8.5344178031807008E-2</v>
      </c>
      <c r="N71" s="26">
        <f t="shared" si="42"/>
        <v>8.5344178031807008E-2</v>
      </c>
      <c r="O71" s="26">
        <f t="shared" si="42"/>
        <v>8.5344178031807008E-2</v>
      </c>
      <c r="P71" s="26">
        <f t="shared" si="42"/>
        <v>8.5344178031807008E-2</v>
      </c>
      <c r="Q71" s="26">
        <f t="shared" si="42"/>
        <v>8.5344178031807008E-2</v>
      </c>
      <c r="R71" s="26">
        <f t="shared" si="42"/>
        <v>8.5344178031807008E-2</v>
      </c>
    </row>
    <row r="72" spans="1:18">
      <c r="A72" t="s">
        <v>43</v>
      </c>
      <c r="I72" s="26">
        <f>J11</f>
        <v>9.0344178031807013E-2</v>
      </c>
      <c r="J72" s="26">
        <f>I72</f>
        <v>9.0344178031807013E-2</v>
      </c>
      <c r="K72" s="26">
        <f t="shared" ref="K72:R72" si="43">J72</f>
        <v>9.0344178031807013E-2</v>
      </c>
      <c r="L72" s="26">
        <f t="shared" si="43"/>
        <v>9.0344178031807013E-2</v>
      </c>
      <c r="M72" s="26">
        <f t="shared" si="43"/>
        <v>9.0344178031807013E-2</v>
      </c>
      <c r="N72" s="26">
        <f t="shared" si="43"/>
        <v>9.0344178031807013E-2</v>
      </c>
      <c r="O72" s="26">
        <f t="shared" si="43"/>
        <v>9.0344178031807013E-2</v>
      </c>
      <c r="P72" s="26">
        <f t="shared" si="43"/>
        <v>9.0344178031807013E-2</v>
      </c>
      <c r="Q72" s="26">
        <f t="shared" si="43"/>
        <v>9.0344178031807013E-2</v>
      </c>
      <c r="R72" s="26">
        <f t="shared" si="43"/>
        <v>9.0344178031807013E-2</v>
      </c>
    </row>
    <row r="74" spans="1:18">
      <c r="A74" t="s">
        <v>21</v>
      </c>
      <c r="D74" s="18">
        <f>D38</f>
        <v>0</v>
      </c>
      <c r="E74" s="18">
        <f t="shared" ref="E74:H74" si="44">E38</f>
        <v>1108</v>
      </c>
      <c r="F74" s="18">
        <f t="shared" si="44"/>
        <v>196</v>
      </c>
      <c r="G74" s="18">
        <f t="shared" si="44"/>
        <v>-980</v>
      </c>
      <c r="H74" s="18">
        <f t="shared" si="44"/>
        <v>1916</v>
      </c>
      <c r="I74" s="18">
        <f ca="1">I48*(I75)</f>
        <v>452.03095240414257</v>
      </c>
      <c r="J74" s="18">
        <f t="shared" ref="J74:R74" ca="1" si="45">J48*(J75)</f>
        <v>915.40659347605481</v>
      </c>
      <c r="K74" s="18">
        <f t="shared" ca="1" si="45"/>
        <v>837.50285539751667</v>
      </c>
      <c r="L74" s="18">
        <f t="shared" ca="1" si="45"/>
        <v>765.95322873886471</v>
      </c>
      <c r="M74" s="18">
        <f t="shared" ca="1" si="45"/>
        <v>700.2640711795317</v>
      </c>
      <c r="N74" s="18">
        <f t="shared" ca="1" si="45"/>
        <v>639.97796266481635</v>
      </c>
      <c r="O74" s="18">
        <f t="shared" ca="1" si="45"/>
        <v>584.67122515057292</v>
      </c>
      <c r="P74" s="18">
        <f t="shared" ca="1" si="45"/>
        <v>533.95159788236685</v>
      </c>
      <c r="Q74" s="18">
        <f t="shared" ca="1" si="45"/>
        <v>487.45605956470882</v>
      </c>
      <c r="R74" s="18">
        <f t="shared" ca="1" si="45"/>
        <v>5629.9128204363442</v>
      </c>
    </row>
    <row r="75" spans="1:18">
      <c r="A75" t="s">
        <v>46</v>
      </c>
      <c r="D75" s="21">
        <f>D39</f>
        <v>0</v>
      </c>
      <c r="E75" s="21">
        <f t="shared" ref="E75:H75" si="46">E39</f>
        <v>1.34185922588771E-2</v>
      </c>
      <c r="F75" s="21">
        <f t="shared" si="46"/>
        <v>2.090488278333582E-3</v>
      </c>
      <c r="G75" s="21">
        <f t="shared" si="46"/>
        <v>-1.2240513601958483E-2</v>
      </c>
      <c r="H75" s="21">
        <f t="shared" si="46"/>
        <v>2.2500939496429912E-2</v>
      </c>
      <c r="I75" s="21">
        <f ca="1">OFFSET(I75,$C$12,0)</f>
        <v>5.1539012863364222E-3</v>
      </c>
      <c r="J75" s="21">
        <f t="shared" ref="J75:R75" ca="1" si="47">OFFSET(J75,$C$12,0)</f>
        <v>1.0136801143410153E-2</v>
      </c>
      <c r="K75" s="21">
        <f t="shared" ca="1" si="47"/>
        <v>9.0104899052534694E-3</v>
      </c>
      <c r="L75" s="21">
        <f t="shared" ca="1" si="47"/>
        <v>8.0093243602253061E-3</v>
      </c>
      <c r="M75" s="21">
        <f t="shared" ca="1" si="47"/>
        <v>7.1193994313113835E-3</v>
      </c>
      <c r="N75" s="21">
        <f t="shared" ca="1" si="47"/>
        <v>6.3283550500545628E-3</v>
      </c>
      <c r="O75" s="21">
        <f t="shared" ca="1" si="47"/>
        <v>5.6252044889373888E-3</v>
      </c>
      <c r="P75" s="21">
        <f t="shared" ca="1" si="47"/>
        <v>5.0001817679443455E-3</v>
      </c>
      <c r="Q75" s="21">
        <f t="shared" ca="1" si="47"/>
        <v>4.4446060159505293E-3</v>
      </c>
      <c r="R75" s="21">
        <f t="shared" ca="1" si="47"/>
        <v>0.05</v>
      </c>
    </row>
    <row r="76" spans="1:18">
      <c r="A76" t="s">
        <v>40</v>
      </c>
      <c r="I76" s="26">
        <f>F12</f>
        <v>1.5153901286336422E-2</v>
      </c>
      <c r="J76" s="26">
        <f>I76-((I76-R76)/9)</f>
        <v>1.9025690032299043E-2</v>
      </c>
      <c r="K76" s="26">
        <f t="shared" ref="K76:Q78" si="48">J76-((J76-S76)/9)</f>
        <v>1.6911724473154706E-2</v>
      </c>
      <c r="L76" s="26">
        <f t="shared" si="48"/>
        <v>1.5032643976137516E-2</v>
      </c>
      <c r="M76" s="26">
        <f t="shared" si="48"/>
        <v>1.3362350201011126E-2</v>
      </c>
      <c r="N76" s="26">
        <f t="shared" si="48"/>
        <v>1.1877644623121001E-2</v>
      </c>
      <c r="O76" s="26">
        <f t="shared" si="48"/>
        <v>1.0557906331663112E-2</v>
      </c>
      <c r="P76" s="26">
        <f t="shared" si="48"/>
        <v>9.3848056281449887E-3</v>
      </c>
      <c r="Q76" s="26">
        <f t="shared" si="48"/>
        <v>8.3420494472399905E-3</v>
      </c>
      <c r="R76" s="26">
        <v>0.05</v>
      </c>
    </row>
    <row r="77" spans="1:18">
      <c r="A77" t="s">
        <v>41</v>
      </c>
      <c r="I77" s="26">
        <f>H12</f>
        <v>5.1539012863364222E-3</v>
      </c>
      <c r="J77" s="26">
        <f t="shared" ref="J77:J78" si="49">I77-((I77-R77)/9)</f>
        <v>1.0136801143410153E-2</v>
      </c>
      <c r="K77" s="26">
        <f t="shared" si="48"/>
        <v>9.0104899052534694E-3</v>
      </c>
      <c r="L77" s="26">
        <f t="shared" si="48"/>
        <v>8.0093243602253061E-3</v>
      </c>
      <c r="M77" s="26">
        <f t="shared" si="48"/>
        <v>7.1193994313113835E-3</v>
      </c>
      <c r="N77" s="26">
        <f t="shared" si="48"/>
        <v>6.3283550500545628E-3</v>
      </c>
      <c r="O77" s="26">
        <f t="shared" si="48"/>
        <v>5.6252044889373888E-3</v>
      </c>
      <c r="P77" s="26">
        <f t="shared" si="48"/>
        <v>5.0001817679443455E-3</v>
      </c>
      <c r="Q77" s="26">
        <f t="shared" si="48"/>
        <v>4.4446060159505293E-3</v>
      </c>
      <c r="R77" s="26">
        <v>0.05</v>
      </c>
    </row>
    <row r="78" spans="1:18">
      <c r="A78" t="s">
        <v>43</v>
      </c>
      <c r="I78" s="26">
        <f>J12</f>
        <v>-4.846098713663578E-3</v>
      </c>
      <c r="J78" s="26">
        <f t="shared" si="49"/>
        <v>1.2479122545212646E-3</v>
      </c>
      <c r="K78" s="26">
        <f t="shared" si="48"/>
        <v>1.1092553373522353E-3</v>
      </c>
      <c r="L78" s="26">
        <f t="shared" si="48"/>
        <v>9.860047443130981E-4</v>
      </c>
      <c r="M78" s="26">
        <f t="shared" si="48"/>
        <v>8.764486616116428E-4</v>
      </c>
      <c r="N78" s="26">
        <f t="shared" si="48"/>
        <v>7.7906547698812696E-4</v>
      </c>
      <c r="O78" s="26">
        <f t="shared" si="48"/>
        <v>6.9250264621166838E-4</v>
      </c>
      <c r="P78" s="26">
        <f t="shared" si="48"/>
        <v>6.1555790774370526E-4</v>
      </c>
      <c r="Q78" s="26">
        <f t="shared" si="48"/>
        <v>5.4716258466107131E-4</v>
      </c>
      <c r="R78" s="26">
        <v>0.05</v>
      </c>
    </row>
    <row r="80" spans="1:18">
      <c r="A80" t="s">
        <v>36</v>
      </c>
      <c r="D80" s="18">
        <f>D42</f>
        <v>0</v>
      </c>
      <c r="E80" s="18">
        <f t="shared" ref="E80:H80" si="50">E42</f>
        <v>-566</v>
      </c>
      <c r="F80" s="18">
        <f t="shared" si="50"/>
        <v>7009</v>
      </c>
      <c r="G80" s="18">
        <f t="shared" si="50"/>
        <v>-16261</v>
      </c>
      <c r="H80" s="18">
        <f t="shared" si="50"/>
        <v>7721</v>
      </c>
      <c r="I80" s="18">
        <f ca="1">I81*I48</f>
        <v>-976.39943489428913</v>
      </c>
      <c r="J80" s="18">
        <f t="shared" ref="J80:R80" ca="1" si="51">J81*J48</f>
        <v>-1005.3297885207867</v>
      </c>
      <c r="K80" s="18">
        <f t="shared" ca="1" si="51"/>
        <v>-1034.7449934441727</v>
      </c>
      <c r="L80" s="18">
        <f t="shared" ca="1" si="51"/>
        <v>-1064.6376265881156</v>
      </c>
      <c r="M80" s="18">
        <f t="shared" ca="1" si="51"/>
        <v>-1094.9995144574805</v>
      </c>
      <c r="N80" s="18">
        <f t="shared" ca="1" si="51"/>
        <v>-1125.8217230125799</v>
      </c>
      <c r="O80" s="18">
        <f t="shared" ca="1" si="51"/>
        <v>-1157.0945486518181</v>
      </c>
      <c r="P80" s="18">
        <f t="shared" ca="1" si="51"/>
        <v>-1188.8075103556087</v>
      </c>
      <c r="Q80" s="18">
        <f t="shared" ca="1" si="51"/>
        <v>-1220.9493430430009</v>
      </c>
      <c r="R80" s="18">
        <f t="shared" ca="1" si="51"/>
        <v>-1253.5079921908143</v>
      </c>
    </row>
    <row r="81" spans="1:18">
      <c r="A81" t="s">
        <v>46</v>
      </c>
      <c r="D81" s="21"/>
      <c r="E81" s="21">
        <f>E43</f>
        <v>-6.8546238434336092E-3</v>
      </c>
      <c r="F81" s="21">
        <f t="shared" ref="F81:H81" si="52">F43</f>
        <v>7.4756287463469781E-2</v>
      </c>
      <c r="G81" s="21">
        <f t="shared" si="52"/>
        <v>-0.20310509355249681</v>
      </c>
      <c r="H81" s="21">
        <f t="shared" si="52"/>
        <v>9.0673149192033065E-2</v>
      </c>
      <c r="I81" s="21">
        <f ca="1">OFFSET(I81,$C$13,0)</f>
        <v>-1.1132570185106896E-2</v>
      </c>
      <c r="J81" s="21">
        <f t="shared" ref="J81:R81" ca="1" si="53">OFFSET(J81,$C$13,0)</f>
        <v>-1.1132570185106896E-2</v>
      </c>
      <c r="K81" s="21">
        <f t="shared" ca="1" si="53"/>
        <v>-1.1132570185106896E-2</v>
      </c>
      <c r="L81" s="21">
        <f t="shared" ca="1" si="53"/>
        <v>-1.1132570185106896E-2</v>
      </c>
      <c r="M81" s="21">
        <f t="shared" ca="1" si="53"/>
        <v>-1.1132570185106896E-2</v>
      </c>
      <c r="N81" s="21">
        <f t="shared" ca="1" si="53"/>
        <v>-1.1132570185106896E-2</v>
      </c>
      <c r="O81" s="21">
        <f t="shared" ca="1" si="53"/>
        <v>-1.1132570185106896E-2</v>
      </c>
      <c r="P81" s="21">
        <f t="shared" ca="1" si="53"/>
        <v>-1.1132570185106896E-2</v>
      </c>
      <c r="Q81" s="21">
        <f t="shared" ca="1" si="53"/>
        <v>-1.1132570185106896E-2</v>
      </c>
      <c r="R81" s="21">
        <f t="shared" ca="1" si="53"/>
        <v>-1.1132570185106896E-2</v>
      </c>
    </row>
    <row r="82" spans="1:18">
      <c r="A82" t="s">
        <v>40</v>
      </c>
      <c r="I82" s="26">
        <f>F13</f>
        <v>-1.1132570185106896E-2</v>
      </c>
      <c r="J82" s="26">
        <f>I82</f>
        <v>-1.1132570185106896E-2</v>
      </c>
      <c r="K82" s="26">
        <f t="shared" ref="K82:R82" si="54">J82</f>
        <v>-1.1132570185106896E-2</v>
      </c>
      <c r="L82" s="26">
        <f t="shared" si="54"/>
        <v>-1.1132570185106896E-2</v>
      </c>
      <c r="M82" s="26">
        <f t="shared" si="54"/>
        <v>-1.1132570185106896E-2</v>
      </c>
      <c r="N82" s="26">
        <f t="shared" si="54"/>
        <v>-1.1132570185106896E-2</v>
      </c>
      <c r="O82" s="26">
        <f t="shared" si="54"/>
        <v>-1.1132570185106896E-2</v>
      </c>
      <c r="P82" s="26">
        <f t="shared" si="54"/>
        <v>-1.1132570185106896E-2</v>
      </c>
      <c r="Q82" s="26">
        <f t="shared" si="54"/>
        <v>-1.1132570185106896E-2</v>
      </c>
      <c r="R82" s="26">
        <f t="shared" si="54"/>
        <v>-1.1132570185106896E-2</v>
      </c>
    </row>
    <row r="83" spans="1:18">
      <c r="A83" t="s">
        <v>41</v>
      </c>
      <c r="I83" s="26">
        <f>H13</f>
        <v>-1.1132570185106896E-2</v>
      </c>
      <c r="J83" s="26">
        <f>I83</f>
        <v>-1.1132570185106896E-2</v>
      </c>
      <c r="K83" s="26">
        <f t="shared" ref="K83:R83" si="55">J83</f>
        <v>-1.1132570185106896E-2</v>
      </c>
      <c r="L83" s="26">
        <f t="shared" si="55"/>
        <v>-1.1132570185106896E-2</v>
      </c>
      <c r="M83" s="26">
        <f t="shared" si="55"/>
        <v>-1.1132570185106896E-2</v>
      </c>
      <c r="N83" s="26">
        <f t="shared" si="55"/>
        <v>-1.1132570185106896E-2</v>
      </c>
      <c r="O83" s="26">
        <f t="shared" si="55"/>
        <v>-1.1132570185106896E-2</v>
      </c>
      <c r="P83" s="26">
        <f t="shared" si="55"/>
        <v>-1.1132570185106896E-2</v>
      </c>
      <c r="Q83" s="26">
        <f t="shared" si="55"/>
        <v>-1.1132570185106896E-2</v>
      </c>
      <c r="R83" s="26">
        <f t="shared" si="55"/>
        <v>-1.1132570185106896E-2</v>
      </c>
    </row>
    <row r="84" spans="1:18">
      <c r="A84" t="s">
        <v>43</v>
      </c>
      <c r="I84" s="26">
        <f>J13</f>
        <v>-1.1132570185106896E-2</v>
      </c>
      <c r="J84" s="26">
        <f>I84</f>
        <v>-1.1132570185106896E-2</v>
      </c>
      <c r="K84" s="26">
        <f t="shared" ref="K84:R84" si="56">J84</f>
        <v>-1.1132570185106896E-2</v>
      </c>
      <c r="L84" s="26">
        <f t="shared" si="56"/>
        <v>-1.1132570185106896E-2</v>
      </c>
      <c r="M84" s="26">
        <f t="shared" si="56"/>
        <v>-1.1132570185106896E-2</v>
      </c>
      <c r="N84" s="26">
        <f t="shared" si="56"/>
        <v>-1.1132570185106896E-2</v>
      </c>
      <c r="O84" s="26">
        <f t="shared" si="56"/>
        <v>-1.1132570185106896E-2</v>
      </c>
      <c r="P84" s="26">
        <f t="shared" si="56"/>
        <v>-1.1132570185106896E-2</v>
      </c>
      <c r="Q84" s="26">
        <f t="shared" si="56"/>
        <v>-1.1132570185106896E-2</v>
      </c>
      <c r="R84" s="26">
        <f t="shared" si="56"/>
        <v>-1.1132570185106896E-2</v>
      </c>
    </row>
    <row r="86" spans="1:18" ht="15">
      <c r="A86" s="117" t="s">
        <v>47</v>
      </c>
      <c r="B86" s="31"/>
      <c r="C86" s="31"/>
      <c r="D86" s="31"/>
      <c r="E86" s="31"/>
      <c r="F86" s="31"/>
      <c r="G86" s="31"/>
      <c r="H86" s="31"/>
      <c r="I86" s="32">
        <f ca="1">I66+I68-I74+I80</f>
        <v>24481.218810545874</v>
      </c>
      <c r="J86" s="32">
        <f t="shared" ref="J86:Q86" ca="1" si="57">J66+J68-J74+J80</f>
        <v>24756.606125413229</v>
      </c>
      <c r="K86" s="32">
        <f t="shared" ca="1" si="57"/>
        <v>25585.653939340755</v>
      </c>
      <c r="L86" s="32">
        <f t="shared" ca="1" si="57"/>
        <v>26420.539206736295</v>
      </c>
      <c r="M86" s="32">
        <f t="shared" ca="1" si="57"/>
        <v>27261.546852270294</v>
      </c>
      <c r="N86" s="32">
        <f t="shared" ca="1" si="57"/>
        <v>28108.906157148776</v>
      </c>
      <c r="O86" s="32">
        <f t="shared" ca="1" si="57"/>
        <v>28962.793009102283</v>
      </c>
      <c r="P86" s="32">
        <f t="shared" ca="1" si="57"/>
        <v>29823.332026494463</v>
      </c>
      <c r="Q86" s="32">
        <f t="shared" ca="1" si="57"/>
        <v>30690.59856650823</v>
      </c>
      <c r="R86" s="32">
        <f ca="1">R66+R68-R74+R80</f>
        <v>26379.556595665203</v>
      </c>
    </row>
    <row r="87" spans="1:18">
      <c r="A87" s="1" t="s">
        <v>48</v>
      </c>
      <c r="I87" s="34">
        <f ca="1">I86/((1+$C$18)^I46)</f>
        <v>23315.446486234163</v>
      </c>
      <c r="J87" s="34">
        <f t="shared" ref="J87:Q87" ca="1" si="58">J86/((1+$C$18)^J46)</f>
        <v>22454.971542324925</v>
      </c>
      <c r="K87" s="34">
        <f t="shared" ca="1" si="58"/>
        <v>22101.849855817516</v>
      </c>
      <c r="L87" s="34">
        <f t="shared" ca="1" si="58"/>
        <v>21736.242990717896</v>
      </c>
      <c r="M87" s="34">
        <f t="shared" ca="1" si="58"/>
        <v>21360.135297159628</v>
      </c>
      <c r="N87" s="34">
        <f t="shared" ca="1" si="58"/>
        <v>20975.29855707852</v>
      </c>
      <c r="O87" s="34">
        <f t="shared" ca="1" si="58"/>
        <v>20583.316259992192</v>
      </c>
      <c r="P87" s="34">
        <f t="shared" ca="1" si="58"/>
        <v>20185.605022382228</v>
      </c>
      <c r="Q87" s="34">
        <f t="shared" ca="1" si="58"/>
        <v>19783.433480032352</v>
      </c>
      <c r="R87" s="34">
        <f ca="1">R86/((1+$C$18)^R46)</f>
        <v>16194.759416607421</v>
      </c>
    </row>
    <row r="88" spans="1:18">
      <c r="A88" s="1" t="s">
        <v>49</v>
      </c>
      <c r="R88" s="34">
        <f ca="1">R86/(C18-C19)</f>
        <v>1318977.8297832599</v>
      </c>
    </row>
    <row r="89" spans="1:18">
      <c r="A89" s="1" t="s">
        <v>50</v>
      </c>
      <c r="R89" s="34">
        <f ca="1">R88/((1+$C$18)^R46)</f>
        <v>809737.9708303709</v>
      </c>
    </row>
    <row r="90" spans="1:18">
      <c r="A90" s="7" t="s">
        <v>51</v>
      </c>
      <c r="B90" s="34">
        <f ca="1">SUM(I87:R87)+R89</f>
        <v>1018429.0297387177</v>
      </c>
    </row>
    <row r="91" spans="1:18">
      <c r="A91" s="1" t="s">
        <v>52</v>
      </c>
      <c r="B91" s="10">
        <f>'Balance Sheet'!F3</f>
        <v>21859</v>
      </c>
    </row>
    <row r="92" spans="1:18">
      <c r="A92" s="1" t="s">
        <v>53</v>
      </c>
      <c r="B92" s="58">
        <f>'Balance Sheet'!F29</f>
        <v>46282</v>
      </c>
    </row>
    <row r="93" spans="1:18">
      <c r="A93" s="1" t="s">
        <v>54</v>
      </c>
      <c r="B93" s="34">
        <f ca="1">B90+B91-B92</f>
        <v>994006.02973871771</v>
      </c>
    </row>
    <row r="94" spans="1:18">
      <c r="A94" s="1" t="s">
        <v>55</v>
      </c>
      <c r="B94">
        <v>2407</v>
      </c>
    </row>
    <row r="95" spans="1:18">
      <c r="A95" s="7" t="s">
        <v>56</v>
      </c>
      <c r="B95" s="34">
        <f ca="1">B93/B94</f>
        <v>412.96469868662973</v>
      </c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BD24-8347-489C-87F7-2A020970FEE8}">
  <dimension ref="A1:K69"/>
  <sheetViews>
    <sheetView workbookViewId="0"/>
  </sheetViews>
  <sheetFormatPr defaultRowHeight="14.45"/>
  <cols>
    <col min="1" max="1" width="67.140625" customWidth="1"/>
    <col min="2" max="2" width="14.28515625" style="22" customWidth="1"/>
    <col min="3" max="3" width="14.5703125" customWidth="1"/>
    <col min="4" max="4" width="16" bestFit="1" customWidth="1"/>
    <col min="5" max="6" width="16.7109375" customWidth="1"/>
  </cols>
  <sheetData>
    <row r="1" spans="1:11" ht="15">
      <c r="A1" s="92" t="s">
        <v>57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>
      <c r="A2" s="59" t="s">
        <v>58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ht="15">
      <c r="A5" s="90" t="s">
        <v>59</v>
      </c>
      <c r="B5" s="90"/>
      <c r="C5" s="90"/>
      <c r="D5" s="90"/>
      <c r="E5" s="90"/>
      <c r="F5" s="90"/>
      <c r="G5" s="61"/>
      <c r="H5" s="61"/>
      <c r="I5" s="61"/>
      <c r="J5" s="61"/>
      <c r="K5" s="61"/>
    </row>
    <row r="6" spans="1:11" ht="15">
      <c r="A6" s="90" t="s">
        <v>60</v>
      </c>
      <c r="B6" s="90"/>
      <c r="C6" s="90"/>
      <c r="D6" s="90"/>
      <c r="E6" s="90"/>
      <c r="F6" s="90"/>
      <c r="G6" s="61"/>
      <c r="H6" s="61"/>
      <c r="I6" s="61"/>
      <c r="J6" s="61"/>
      <c r="K6" s="61"/>
    </row>
    <row r="7" spans="1:11" ht="15">
      <c r="A7" s="90" t="s">
        <v>61</v>
      </c>
      <c r="B7" s="90"/>
      <c r="C7" s="90"/>
      <c r="D7" s="90"/>
      <c r="E7" s="90"/>
      <c r="F7" s="90"/>
      <c r="G7" s="61"/>
      <c r="H7" s="61"/>
      <c r="I7" s="61"/>
      <c r="J7" s="61"/>
      <c r="K7" s="61"/>
    </row>
    <row r="8" spans="1:11" ht="15">
      <c r="A8" s="91"/>
      <c r="B8" s="91">
        <v>2019</v>
      </c>
      <c r="C8" s="91">
        <v>2020</v>
      </c>
      <c r="D8" s="91">
        <v>2021</v>
      </c>
      <c r="E8" s="91">
        <v>2022</v>
      </c>
      <c r="F8" s="91">
        <v>2023</v>
      </c>
      <c r="G8" s="61"/>
      <c r="H8" s="61"/>
      <c r="I8" s="61"/>
      <c r="J8" s="61"/>
      <c r="K8" s="61"/>
    </row>
    <row r="9" spans="1:11" ht="15">
      <c r="A9" s="90"/>
      <c r="B9" s="90"/>
      <c r="C9" s="90"/>
      <c r="D9" s="90"/>
      <c r="E9" s="90"/>
      <c r="F9" s="90"/>
      <c r="G9" s="61"/>
      <c r="H9" s="61"/>
      <c r="I9" s="61"/>
      <c r="J9" s="61"/>
      <c r="K9" s="61"/>
    </row>
    <row r="10" spans="1:11">
      <c r="A10" s="62" t="s">
        <v>62</v>
      </c>
      <c r="B10" s="63">
        <v>82113</v>
      </c>
      <c r="C10" s="63">
        <v>82572</v>
      </c>
      <c r="D10" s="63">
        <v>93758</v>
      </c>
      <c r="E10" s="63">
        <v>80062</v>
      </c>
      <c r="F10" s="63">
        <v>85152</v>
      </c>
      <c r="G10" s="64"/>
      <c r="H10" s="64"/>
      <c r="I10" s="64"/>
      <c r="J10" s="64"/>
      <c r="K10" s="64"/>
    </row>
    <row r="11" spans="1:11">
      <c r="A11" s="65" t="s">
        <v>63</v>
      </c>
      <c r="B11" s="66">
        <v>27135</v>
      </c>
      <c r="C11" s="66">
        <v>27998</v>
      </c>
      <c r="D11" s="66">
        <v>29874</v>
      </c>
      <c r="E11" s="66">
        <v>24325</v>
      </c>
      <c r="F11" s="66">
        <v>26430</v>
      </c>
      <c r="G11" s="64"/>
      <c r="H11" s="64"/>
      <c r="I11" s="64"/>
      <c r="J11" s="64"/>
      <c r="K11" s="64"/>
    </row>
    <row r="12" spans="1:11">
      <c r="A12" s="67" t="s">
        <v>64</v>
      </c>
      <c r="B12" s="51">
        <v>20126</v>
      </c>
      <c r="C12" s="51">
        <v>20767</v>
      </c>
      <c r="D12" s="51">
        <v>22484</v>
      </c>
      <c r="E12" s="51">
        <v>17355</v>
      </c>
      <c r="F12" s="51">
        <v>18944</v>
      </c>
      <c r="G12" s="56"/>
      <c r="H12" s="56"/>
      <c r="I12" s="56"/>
      <c r="J12" s="56"/>
      <c r="K12" s="56"/>
    </row>
    <row r="13" spans="1:11">
      <c r="A13" s="68" t="s">
        <v>65</v>
      </c>
      <c r="B13" s="66">
        <v>7009</v>
      </c>
      <c r="C13" s="66">
        <v>7231</v>
      </c>
      <c r="D13" s="66">
        <v>7390</v>
      </c>
      <c r="E13" s="66">
        <v>6970</v>
      </c>
      <c r="F13" s="66">
        <v>7486</v>
      </c>
      <c r="G13" s="64"/>
      <c r="H13" s="64"/>
      <c r="I13" s="64"/>
      <c r="J13" s="64"/>
      <c r="K13" s="64"/>
    </row>
    <row r="14" spans="1:11">
      <c r="A14" s="69" t="s">
        <v>66</v>
      </c>
      <c r="B14" s="51">
        <v>2509</v>
      </c>
      <c r="C14" s="51">
        <v>2531</v>
      </c>
      <c r="D14" s="51">
        <v>2690</v>
      </c>
      <c r="E14" s="51">
        <v>3070</v>
      </c>
      <c r="F14" s="51">
        <v>2986</v>
      </c>
      <c r="G14" s="56"/>
      <c r="H14" s="56"/>
      <c r="I14" s="56"/>
      <c r="J14" s="56"/>
      <c r="K14" s="56"/>
    </row>
    <row r="15" spans="1:11">
      <c r="A15" s="70" t="s">
        <v>67</v>
      </c>
      <c r="B15" s="53">
        <v>4500</v>
      </c>
      <c r="C15" s="53">
        <v>4700</v>
      </c>
      <c r="D15" s="53">
        <v>4700</v>
      </c>
      <c r="E15" s="53">
        <v>3900</v>
      </c>
      <c r="F15" s="53">
        <v>4500</v>
      </c>
      <c r="G15" s="64"/>
      <c r="H15" s="64"/>
      <c r="I15" s="64"/>
      <c r="J15" s="64"/>
      <c r="K15" s="64"/>
    </row>
    <row r="16" spans="1:11">
      <c r="A16" s="62" t="s">
        <v>68</v>
      </c>
      <c r="B16" s="63">
        <v>54978</v>
      </c>
      <c r="C16" s="63">
        <v>54574</v>
      </c>
      <c r="D16" s="63">
        <v>63884</v>
      </c>
      <c r="E16" s="63">
        <v>55737</v>
      </c>
      <c r="F16" s="63">
        <v>58722</v>
      </c>
      <c r="G16" s="64"/>
      <c r="H16" s="64"/>
      <c r="I16" s="64"/>
      <c r="J16" s="64"/>
      <c r="K16" s="64"/>
    </row>
    <row r="17" spans="1:11">
      <c r="A17" s="65" t="s">
        <v>69</v>
      </c>
      <c r="B17" s="66">
        <v>33428</v>
      </c>
      <c r="C17" s="66">
        <v>34106</v>
      </c>
      <c r="D17" s="66">
        <v>39403</v>
      </c>
      <c r="E17" s="66">
        <v>34530</v>
      </c>
      <c r="F17" s="66">
        <v>36560</v>
      </c>
      <c r="G17" s="56"/>
      <c r="H17" s="56"/>
      <c r="I17" s="56"/>
      <c r="J17" s="56"/>
      <c r="K17" s="56"/>
    </row>
    <row r="18" spans="1:11">
      <c r="A18" s="67" t="s">
        <v>70</v>
      </c>
      <c r="B18" s="51">
        <v>11250</v>
      </c>
      <c r="C18" s="51">
        <v>12022</v>
      </c>
      <c r="D18" s="51">
        <v>14744</v>
      </c>
      <c r="E18" s="51">
        <v>14284</v>
      </c>
      <c r="F18" s="51">
        <v>15048</v>
      </c>
      <c r="G18" s="64"/>
      <c r="H18" s="64"/>
      <c r="I18" s="64"/>
      <c r="J18" s="64"/>
      <c r="K18" s="64"/>
    </row>
    <row r="19" spans="1:11">
      <c r="A19" s="71" t="s">
        <v>71</v>
      </c>
      <c r="B19" s="53">
        <v>22178</v>
      </c>
      <c r="C19" s="53">
        <v>22084</v>
      </c>
      <c r="D19" s="53">
        <v>24659</v>
      </c>
      <c r="E19" s="53">
        <v>20246</v>
      </c>
      <c r="F19" s="53">
        <v>21512</v>
      </c>
      <c r="G19" s="64"/>
      <c r="H19" s="64"/>
      <c r="I19" s="64"/>
      <c r="J19" s="64"/>
      <c r="K19" s="64"/>
    </row>
    <row r="20" spans="1:11">
      <c r="A20" s="62" t="s">
        <v>72</v>
      </c>
      <c r="B20" s="63">
        <v>21550</v>
      </c>
      <c r="C20" s="63">
        <v>20468</v>
      </c>
      <c r="D20" s="63">
        <v>24481</v>
      </c>
      <c r="E20" s="63">
        <v>21207</v>
      </c>
      <c r="F20" s="63">
        <v>22162</v>
      </c>
      <c r="G20" s="56"/>
      <c r="H20" s="56"/>
      <c r="I20" s="56"/>
      <c r="J20" s="56"/>
      <c r="K20" s="56"/>
    </row>
    <row r="21" spans="1:11">
      <c r="A21" s="65" t="s">
        <v>73</v>
      </c>
      <c r="B21" s="66">
        <v>2555</v>
      </c>
      <c r="C21" s="66">
        <v>629</v>
      </c>
      <c r="D21" s="66">
        <v>2404</v>
      </c>
      <c r="E21" s="66">
        <v>2655.2</v>
      </c>
      <c r="F21" s="66">
        <v>3386.3</v>
      </c>
      <c r="G21" s="72"/>
      <c r="H21" s="72"/>
      <c r="I21" s="72"/>
      <c r="J21" s="72"/>
      <c r="K21" s="72"/>
    </row>
    <row r="22" spans="1:11">
      <c r="A22" s="67" t="s">
        <v>74</v>
      </c>
      <c r="B22" s="51">
        <v>357</v>
      </c>
      <c r="C22" s="51">
        <v>111</v>
      </c>
      <c r="D22" s="51">
        <v>53</v>
      </c>
      <c r="E22" s="51">
        <v>490</v>
      </c>
      <c r="F22" s="51">
        <v>1261</v>
      </c>
      <c r="G22" s="64"/>
      <c r="H22" s="64"/>
      <c r="I22" s="64"/>
      <c r="J22" s="64"/>
      <c r="K22" s="64"/>
    </row>
    <row r="23" spans="1:11">
      <c r="A23" s="71" t="s">
        <v>75</v>
      </c>
      <c r="B23" s="53">
        <v>2198</v>
      </c>
      <c r="C23" s="53">
        <v>518</v>
      </c>
      <c r="D23" s="53">
        <v>2351</v>
      </c>
      <c r="E23" s="53">
        <v>2165.1999999999998</v>
      </c>
      <c r="F23" s="53">
        <v>2125.3000000000002</v>
      </c>
      <c r="G23" s="62"/>
      <c r="H23" s="62"/>
      <c r="I23" s="62"/>
      <c r="J23" s="62"/>
      <c r="K23" s="62"/>
    </row>
    <row r="24" spans="1:11">
      <c r="A24" s="73" t="s">
        <v>76</v>
      </c>
      <c r="B24" s="63">
        <v>769</v>
      </c>
      <c r="C24" s="63">
        <v>724</v>
      </c>
      <c r="D24" s="63">
        <v>759</v>
      </c>
      <c r="E24" s="63">
        <v>841</v>
      </c>
      <c r="F24" s="63">
        <v>1177</v>
      </c>
      <c r="G24" s="50"/>
      <c r="H24" s="50"/>
      <c r="I24" s="50"/>
      <c r="J24" s="50"/>
      <c r="K24" s="50"/>
    </row>
    <row r="25" spans="1:11">
      <c r="A25" s="71" t="s">
        <v>77</v>
      </c>
      <c r="B25" s="53">
        <v>839</v>
      </c>
      <c r="C25" s="53">
        <v>787</v>
      </c>
      <c r="D25" s="53">
        <v>808</v>
      </c>
      <c r="E25" s="53">
        <v>890</v>
      </c>
      <c r="F25" s="53">
        <v>1247</v>
      </c>
      <c r="G25" s="50"/>
      <c r="H25" s="50"/>
      <c r="I25" s="50"/>
      <c r="J25" s="50"/>
      <c r="K25" s="50"/>
    </row>
    <row r="26" spans="1:11">
      <c r="A26" s="67" t="s">
        <v>78</v>
      </c>
      <c r="B26" s="51">
        <v>70</v>
      </c>
      <c r="C26" s="51">
        <v>63</v>
      </c>
      <c r="D26" s="51">
        <v>49</v>
      </c>
      <c r="E26" s="51">
        <v>49</v>
      </c>
      <c r="F26" s="51">
        <v>70</v>
      </c>
      <c r="G26" s="56"/>
      <c r="H26" s="56"/>
      <c r="I26" s="56"/>
      <c r="J26" s="56"/>
      <c r="K26" s="56"/>
    </row>
    <row r="27" spans="1:11">
      <c r="A27" s="65" t="s">
        <v>79</v>
      </c>
      <c r="B27" s="66">
        <v>6008</v>
      </c>
      <c r="C27" s="66">
        <v>3876</v>
      </c>
      <c r="D27" s="66">
        <v>3350</v>
      </c>
      <c r="E27" s="66">
        <v>3662.2</v>
      </c>
      <c r="F27" s="66">
        <v>9309.2999999999993</v>
      </c>
      <c r="G27" s="50"/>
      <c r="H27" s="56"/>
      <c r="I27" s="56"/>
      <c r="J27" s="56"/>
      <c r="K27" s="50"/>
    </row>
    <row r="28" spans="1:11">
      <c r="A28" s="74" t="s">
        <v>80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</row>
    <row r="29" spans="1:11">
      <c r="A29" s="70" t="s">
        <v>81</v>
      </c>
      <c r="B29" s="53">
        <v>0</v>
      </c>
      <c r="C29" s="53">
        <v>0</v>
      </c>
      <c r="D29" s="53">
        <v>0</v>
      </c>
      <c r="E29" s="53">
        <v>0</v>
      </c>
      <c r="F29" s="53">
        <v>0</v>
      </c>
      <c r="G29" s="50"/>
      <c r="H29" s="50"/>
      <c r="I29" s="50"/>
      <c r="J29" s="50"/>
      <c r="K29" s="50"/>
    </row>
    <row r="30" spans="1:11">
      <c r="A30" s="69" t="s">
        <v>82</v>
      </c>
      <c r="B30" s="50"/>
      <c r="C30" s="50"/>
      <c r="D30" s="50"/>
      <c r="E30" s="50"/>
      <c r="F30" s="50"/>
      <c r="G30" s="64"/>
      <c r="H30" s="64"/>
      <c r="I30" s="64"/>
      <c r="J30" s="64"/>
      <c r="K30" s="64"/>
    </row>
    <row r="31" spans="1:11">
      <c r="A31" s="71" t="s">
        <v>83</v>
      </c>
      <c r="B31" s="52"/>
      <c r="C31" s="75">
        <v>-1148</v>
      </c>
      <c r="D31" s="53">
        <v>0</v>
      </c>
      <c r="E31" s="52"/>
      <c r="F31" s="53">
        <v>0</v>
      </c>
      <c r="G31" s="64"/>
      <c r="H31" s="64"/>
      <c r="I31" s="64"/>
      <c r="J31" s="64"/>
      <c r="K31" s="64"/>
    </row>
    <row r="32" spans="1:11">
      <c r="A32" s="67" t="s">
        <v>84</v>
      </c>
      <c r="B32" s="51">
        <v>566</v>
      </c>
      <c r="C32" s="51">
        <v>447</v>
      </c>
      <c r="D32" s="51">
        <v>452</v>
      </c>
      <c r="E32" s="51">
        <v>975.2</v>
      </c>
      <c r="F32" s="51">
        <v>1198.3</v>
      </c>
      <c r="G32" s="56"/>
      <c r="H32" s="72"/>
      <c r="I32" s="56"/>
      <c r="J32" s="56"/>
      <c r="K32" s="56"/>
    </row>
    <row r="33" spans="1:11">
      <c r="A33" s="71" t="s">
        <v>85</v>
      </c>
      <c r="B33" s="53">
        <v>5100</v>
      </c>
      <c r="C33" s="53">
        <v>5100</v>
      </c>
      <c r="D33" s="53">
        <v>2300</v>
      </c>
      <c r="E33" s="53">
        <v>900</v>
      </c>
      <c r="F33" s="53">
        <v>6900</v>
      </c>
      <c r="G33" s="56"/>
      <c r="H33" s="56"/>
      <c r="I33" s="56"/>
      <c r="J33" s="56"/>
      <c r="K33" s="56"/>
    </row>
    <row r="34" spans="1:11">
      <c r="A34" s="74" t="s">
        <v>86</v>
      </c>
      <c r="B34" s="63">
        <v>548</v>
      </c>
      <c r="C34" s="63">
        <v>704</v>
      </c>
      <c r="D34" s="63">
        <v>302</v>
      </c>
      <c r="E34" s="63">
        <v>-1004</v>
      </c>
      <c r="F34" s="63">
        <v>-898</v>
      </c>
      <c r="G34" s="56"/>
      <c r="H34" s="56"/>
      <c r="I34" s="72"/>
      <c r="J34" s="72"/>
      <c r="K34" s="72"/>
    </row>
    <row r="35" spans="1:11">
      <c r="A35" s="70" t="s">
        <v>87</v>
      </c>
      <c r="B35" s="53">
        <v>533</v>
      </c>
      <c r="C35" s="53">
        <v>527</v>
      </c>
      <c r="D35" s="53">
        <v>198</v>
      </c>
      <c r="E35" s="75">
        <v>-538</v>
      </c>
      <c r="F35" s="75">
        <v>-968</v>
      </c>
      <c r="G35" s="72"/>
      <c r="H35" s="72"/>
      <c r="I35" s="72"/>
      <c r="J35" s="56"/>
      <c r="K35" s="72"/>
    </row>
    <row r="36" spans="1:11">
      <c r="A36" s="69" t="s">
        <v>88</v>
      </c>
      <c r="B36" s="51">
        <v>15</v>
      </c>
      <c r="C36" s="51">
        <v>177</v>
      </c>
      <c r="D36" s="51">
        <v>104</v>
      </c>
      <c r="E36" s="57">
        <v>-466</v>
      </c>
      <c r="F36" s="51">
        <v>70</v>
      </c>
      <c r="G36" s="56"/>
      <c r="H36" s="56"/>
      <c r="I36" s="56"/>
      <c r="J36" s="56"/>
      <c r="K36" s="56"/>
    </row>
    <row r="37" spans="1:11">
      <c r="A37" s="68" t="s">
        <v>89</v>
      </c>
      <c r="B37" s="66">
        <v>890</v>
      </c>
      <c r="C37" s="66">
        <v>181</v>
      </c>
      <c r="D37" s="66">
        <v>900</v>
      </c>
      <c r="E37" s="66">
        <v>783</v>
      </c>
      <c r="F37" s="66">
        <v>313</v>
      </c>
      <c r="G37" s="64"/>
      <c r="H37" s="64"/>
      <c r="I37" s="64"/>
      <c r="J37" s="64"/>
      <c r="K37" s="64"/>
    </row>
    <row r="38" spans="1:11">
      <c r="A38" s="69" t="s">
        <v>90</v>
      </c>
      <c r="B38" s="51">
        <v>890</v>
      </c>
      <c r="C38" s="51">
        <v>181</v>
      </c>
      <c r="D38" s="51">
        <v>900</v>
      </c>
      <c r="E38" s="51">
        <v>783</v>
      </c>
      <c r="F38" s="51">
        <v>313</v>
      </c>
      <c r="G38" s="56"/>
      <c r="H38" s="56"/>
      <c r="I38" s="56"/>
      <c r="J38" s="56"/>
      <c r="K38" s="56"/>
    </row>
    <row r="39" spans="1:11">
      <c r="A39" s="70" t="s">
        <v>91</v>
      </c>
      <c r="B39" s="52"/>
      <c r="C39" s="52"/>
      <c r="D39" s="52"/>
      <c r="E39" s="52"/>
      <c r="F39" s="52"/>
      <c r="G39" s="62"/>
      <c r="H39" s="62"/>
      <c r="I39" s="62"/>
      <c r="J39" s="62"/>
      <c r="K39" s="62"/>
    </row>
    <row r="40" spans="1:11">
      <c r="A40" s="62" t="s">
        <v>92</v>
      </c>
      <c r="B40" s="63">
        <v>17328</v>
      </c>
      <c r="C40" s="63">
        <v>16497</v>
      </c>
      <c r="D40" s="63">
        <v>22776</v>
      </c>
      <c r="E40" s="63">
        <v>19359</v>
      </c>
      <c r="F40" s="63">
        <v>15062</v>
      </c>
      <c r="G40" s="54"/>
      <c r="H40" s="54"/>
      <c r="I40" s="54"/>
      <c r="J40" s="54"/>
      <c r="K40" s="54"/>
    </row>
    <row r="41" spans="1:11">
      <c r="A41" s="65" t="s">
        <v>93</v>
      </c>
      <c r="B41" s="66">
        <v>2209</v>
      </c>
      <c r="C41" s="66">
        <v>1783</v>
      </c>
      <c r="D41" s="66">
        <v>1898</v>
      </c>
      <c r="E41" s="66">
        <v>2989</v>
      </c>
      <c r="F41" s="66">
        <v>1736</v>
      </c>
      <c r="G41" s="76"/>
      <c r="H41" s="76"/>
      <c r="I41" s="76"/>
      <c r="J41" s="76"/>
      <c r="K41" s="76"/>
    </row>
    <row r="42" spans="1:11">
      <c r="A42" s="67" t="s">
        <v>94</v>
      </c>
      <c r="B42" s="51">
        <v>1941</v>
      </c>
      <c r="C42" s="51">
        <v>1026</v>
      </c>
      <c r="D42" s="51">
        <v>1525</v>
      </c>
      <c r="E42" s="51">
        <v>2274</v>
      </c>
      <c r="F42" s="51">
        <v>2705</v>
      </c>
      <c r="G42" s="54"/>
      <c r="H42" s="54"/>
      <c r="I42" s="54"/>
      <c r="J42" s="54"/>
      <c r="K42" s="54"/>
    </row>
    <row r="43" spans="1:11">
      <c r="A43" s="71" t="s">
        <v>95</v>
      </c>
      <c r="B43" s="53">
        <v>2744</v>
      </c>
      <c r="C43" s="53">
        <v>1898</v>
      </c>
      <c r="D43" s="53">
        <v>2452</v>
      </c>
      <c r="E43" s="53">
        <v>2295</v>
      </c>
      <c r="F43" s="53">
        <v>3090</v>
      </c>
      <c r="G43" s="54"/>
      <c r="H43" s="54"/>
      <c r="I43" s="54"/>
      <c r="J43" s="54"/>
      <c r="K43" s="54"/>
    </row>
    <row r="44" spans="1:11">
      <c r="A44" s="67" t="s">
        <v>96</v>
      </c>
      <c r="B44" s="57">
        <v>-814</v>
      </c>
      <c r="C44" s="57">
        <v>-76</v>
      </c>
      <c r="D44" s="51">
        <v>583</v>
      </c>
      <c r="E44" s="57">
        <v>-1990</v>
      </c>
      <c r="F44" s="57">
        <v>-3440</v>
      </c>
      <c r="G44" s="76"/>
      <c r="H44" s="76"/>
      <c r="I44" s="76"/>
      <c r="J44" s="76"/>
      <c r="K44" s="76"/>
    </row>
    <row r="45" spans="1:11">
      <c r="A45" s="71" t="s">
        <v>97</v>
      </c>
      <c r="B45" s="75">
        <v>-1662</v>
      </c>
      <c r="C45" s="75">
        <v>-1065</v>
      </c>
      <c r="D45" s="75">
        <v>-2662</v>
      </c>
      <c r="E45" s="53">
        <v>410</v>
      </c>
      <c r="F45" s="75">
        <v>-619</v>
      </c>
      <c r="G45" s="54"/>
      <c r="H45" s="54"/>
      <c r="I45" s="54"/>
      <c r="J45" s="54"/>
      <c r="K45" s="54"/>
    </row>
    <row r="46" spans="1:11">
      <c r="A46" s="50" t="s">
        <v>98</v>
      </c>
      <c r="B46" s="51">
        <v>15119</v>
      </c>
      <c r="C46" s="51">
        <v>14714</v>
      </c>
      <c r="D46" s="51">
        <v>20878</v>
      </c>
      <c r="E46" s="51">
        <v>16370</v>
      </c>
      <c r="F46" s="51">
        <v>13326</v>
      </c>
      <c r="G46" s="54"/>
      <c r="H46" s="54"/>
      <c r="I46" s="54"/>
      <c r="J46" s="54"/>
      <c r="K46" s="54"/>
    </row>
    <row r="47" spans="1:11">
      <c r="A47" s="77" t="s">
        <v>99</v>
      </c>
      <c r="B47" s="66">
        <v>15119</v>
      </c>
      <c r="C47" s="66">
        <v>14714</v>
      </c>
      <c r="D47" s="66">
        <v>20878</v>
      </c>
      <c r="E47" s="66">
        <v>16370</v>
      </c>
      <c r="F47" s="66">
        <v>13326</v>
      </c>
      <c r="G47" s="54"/>
      <c r="H47" s="54"/>
      <c r="I47" s="54"/>
      <c r="J47" s="54"/>
      <c r="K47" s="54"/>
    </row>
    <row r="48" spans="1:11">
      <c r="A48" s="78" t="s">
        <v>100</v>
      </c>
      <c r="B48" s="51">
        <v>0</v>
      </c>
      <c r="C48" s="51">
        <v>0</v>
      </c>
      <c r="D48" s="51">
        <v>0</v>
      </c>
      <c r="E48" s="51">
        <v>1571</v>
      </c>
      <c r="F48" s="51">
        <v>843</v>
      </c>
      <c r="G48" s="62"/>
      <c r="H48" s="62"/>
      <c r="I48" s="62"/>
      <c r="J48" s="62"/>
      <c r="K48" s="62"/>
    </row>
    <row r="49" spans="1:11">
      <c r="A49" s="79" t="s">
        <v>101</v>
      </c>
      <c r="B49" s="53">
        <v>15119</v>
      </c>
      <c r="C49" s="53">
        <v>14714</v>
      </c>
      <c r="D49" s="53">
        <v>20878</v>
      </c>
      <c r="E49" s="53">
        <v>17941</v>
      </c>
      <c r="F49" s="53">
        <v>14169</v>
      </c>
      <c r="G49" s="64"/>
      <c r="H49" s="64"/>
      <c r="I49" s="64"/>
      <c r="J49" s="64"/>
      <c r="K49" s="64"/>
    </row>
    <row r="50" spans="1:11">
      <c r="A50" s="62" t="s">
        <v>102</v>
      </c>
      <c r="B50" s="62"/>
      <c r="C50" s="62"/>
      <c r="D50" s="62"/>
      <c r="E50" s="62"/>
      <c r="F50" s="62"/>
      <c r="G50" s="56"/>
      <c r="H50" s="56"/>
      <c r="I50" s="56"/>
      <c r="J50" s="56"/>
      <c r="K50" s="56"/>
    </row>
    <row r="51" spans="1:11">
      <c r="A51" s="79" t="s">
        <v>103</v>
      </c>
      <c r="B51" s="55">
        <v>7.1991209999999999</v>
      </c>
      <c r="C51" s="55">
        <v>6.5253300000000003</v>
      </c>
      <c r="D51" s="55">
        <v>8.684742</v>
      </c>
      <c r="E51" s="55">
        <v>7.6971879999999997</v>
      </c>
      <c r="F51" s="55">
        <v>8.0790150000000001</v>
      </c>
      <c r="G51" s="56"/>
      <c r="H51" s="56"/>
      <c r="I51" s="56"/>
      <c r="J51" s="56"/>
      <c r="K51" s="56"/>
    </row>
    <row r="52" spans="1:11">
      <c r="A52" s="73" t="s">
        <v>104</v>
      </c>
      <c r="B52" s="76">
        <v>5.7157999999999998</v>
      </c>
      <c r="C52" s="76">
        <v>5.5887000000000002</v>
      </c>
      <c r="D52" s="76">
        <v>7.9321000000000002</v>
      </c>
      <c r="E52" s="76">
        <v>6.8342000000000001</v>
      </c>
      <c r="F52" s="76">
        <v>5.5926999999999998</v>
      </c>
      <c r="G52" s="49"/>
      <c r="H52" s="49"/>
      <c r="I52" s="49"/>
      <c r="J52" s="49"/>
      <c r="K52" s="49"/>
    </row>
    <row r="53" spans="1:11">
      <c r="A53" s="71" t="s">
        <v>105</v>
      </c>
      <c r="B53" s="55">
        <v>2645.1</v>
      </c>
      <c r="C53" s="55">
        <v>2632.8</v>
      </c>
      <c r="D53" s="55">
        <v>2632.1</v>
      </c>
      <c r="E53" s="55">
        <v>2625.2</v>
      </c>
      <c r="F53" s="55">
        <v>2533.5</v>
      </c>
      <c r="G53" s="49"/>
      <c r="H53" s="49"/>
      <c r="I53" s="49"/>
      <c r="J53" s="49"/>
      <c r="K53" s="49"/>
    </row>
    <row r="54" spans="1:11">
      <c r="A54" s="67" t="s">
        <v>106</v>
      </c>
      <c r="B54" s="54">
        <v>2632.5070000000001</v>
      </c>
      <c r="C54" s="54">
        <v>2632.5120000000002</v>
      </c>
      <c r="D54" s="54">
        <v>2628.9650000000001</v>
      </c>
      <c r="E54" s="54">
        <v>2613.5970000000002</v>
      </c>
      <c r="F54" s="54">
        <v>2407.078</v>
      </c>
      <c r="G54" s="49"/>
      <c r="H54" s="49"/>
      <c r="I54" s="49"/>
      <c r="J54" s="49"/>
      <c r="K54" s="49"/>
    </row>
    <row r="55" spans="1:11">
      <c r="A55" s="65" t="s">
        <v>107</v>
      </c>
      <c r="B55" s="80">
        <v>5.6323999999999996</v>
      </c>
      <c r="C55" s="80">
        <v>5.5094000000000003</v>
      </c>
      <c r="D55" s="80">
        <v>7.8078000000000003</v>
      </c>
      <c r="E55" s="80">
        <v>6.7348999999999997</v>
      </c>
      <c r="F55" s="80">
        <v>5.5339</v>
      </c>
      <c r="G55" s="49"/>
      <c r="H55" s="49"/>
      <c r="I55" s="49"/>
      <c r="J55" s="49"/>
      <c r="K55" s="49"/>
    </row>
    <row r="56" spans="1:11">
      <c r="A56" s="67" t="s">
        <v>108</v>
      </c>
      <c r="B56" s="54">
        <v>2684.3</v>
      </c>
      <c r="C56" s="54">
        <v>2670.7</v>
      </c>
      <c r="D56" s="54">
        <v>2674</v>
      </c>
      <c r="E56" s="54">
        <v>2663.9</v>
      </c>
      <c r="F56" s="54">
        <v>2560.4</v>
      </c>
      <c r="G56" s="49"/>
      <c r="H56" s="49"/>
      <c r="I56" s="49"/>
      <c r="J56" s="49"/>
      <c r="K56" s="49"/>
    </row>
    <row r="57" spans="1:11">
      <c r="A57" s="71" t="s">
        <v>106</v>
      </c>
      <c r="B57" s="55">
        <v>2632.5070000000001</v>
      </c>
      <c r="C57" s="55">
        <v>2632.5120000000002</v>
      </c>
      <c r="D57" s="55">
        <v>2628.9650000000001</v>
      </c>
      <c r="E57" s="55">
        <v>2613.5970000000002</v>
      </c>
      <c r="F57" s="55">
        <v>2407.078</v>
      </c>
      <c r="G57" s="49"/>
      <c r="H57" s="49"/>
      <c r="I57" s="49"/>
      <c r="J57" s="49"/>
      <c r="K57" s="49"/>
    </row>
    <row r="58" spans="1:11">
      <c r="A58" s="78" t="s">
        <v>109</v>
      </c>
      <c r="B58" s="54">
        <v>91.768000000000001</v>
      </c>
      <c r="C58" s="54">
        <v>82.504000000000005</v>
      </c>
      <c r="D58" s="54">
        <v>87.926000000000002</v>
      </c>
      <c r="E58" s="54">
        <v>80.745000000000005</v>
      </c>
      <c r="F58" s="54">
        <v>79.356999999999999</v>
      </c>
      <c r="G58" s="49"/>
      <c r="H58" s="49"/>
      <c r="I58" s="49"/>
      <c r="J58" s="49"/>
      <c r="K58" s="49"/>
    </row>
    <row r="59" spans="1:11">
      <c r="A59" s="65" t="s">
        <v>110</v>
      </c>
      <c r="B59" s="80">
        <v>3.75</v>
      </c>
      <c r="C59" s="80">
        <v>3.98</v>
      </c>
      <c r="D59" s="80">
        <v>4.1900000000000004</v>
      </c>
      <c r="E59" s="80">
        <v>4.45</v>
      </c>
      <c r="F59" s="80">
        <v>4.7</v>
      </c>
      <c r="G59" s="49"/>
      <c r="H59" s="49"/>
      <c r="I59" s="49"/>
      <c r="J59" s="49"/>
      <c r="K59" s="49"/>
    </row>
    <row r="60" spans="1:11">
      <c r="A60" s="67" t="s">
        <v>111</v>
      </c>
      <c r="B60" s="54">
        <v>66.579077999999996</v>
      </c>
      <c r="C60" s="54">
        <v>72.240171000000004</v>
      </c>
      <c r="D60" s="54">
        <v>53.664284000000002</v>
      </c>
      <c r="E60" s="54">
        <v>66.073734999999999</v>
      </c>
      <c r="F60" s="54">
        <v>84.931061</v>
      </c>
      <c r="G60" s="49"/>
      <c r="H60" s="49"/>
      <c r="I60" s="49"/>
      <c r="J60" s="49"/>
      <c r="K60" s="49"/>
    </row>
    <row r="61" spans="1:11">
      <c r="A61" s="77" t="s">
        <v>112</v>
      </c>
      <c r="B61" s="77"/>
      <c r="C61" s="77"/>
      <c r="D61" s="77"/>
      <c r="E61" s="77"/>
      <c r="F61" s="77"/>
      <c r="G61" s="49"/>
      <c r="H61" s="49"/>
      <c r="I61" s="49"/>
      <c r="J61" s="49"/>
      <c r="K61" s="49"/>
    </row>
    <row r="62" spans="1:11">
      <c r="A62" s="73" t="s">
        <v>112</v>
      </c>
      <c r="B62" s="63">
        <v>28559</v>
      </c>
      <c r="C62" s="63">
        <v>27699</v>
      </c>
      <c r="D62" s="63">
        <v>31871</v>
      </c>
      <c r="E62" s="63">
        <v>28177</v>
      </c>
      <c r="F62" s="63">
        <v>29648</v>
      </c>
      <c r="G62" s="49"/>
      <c r="H62" s="49"/>
      <c r="I62" s="49"/>
      <c r="J62" s="49"/>
      <c r="K62" s="49"/>
    </row>
    <row r="63" spans="1:11">
      <c r="A63" s="71" t="s">
        <v>18</v>
      </c>
      <c r="B63" s="53">
        <v>21550</v>
      </c>
      <c r="C63" s="53">
        <v>20468</v>
      </c>
      <c r="D63" s="53">
        <v>24481</v>
      </c>
      <c r="E63" s="53">
        <v>21207</v>
      </c>
      <c r="F63" s="53">
        <v>22162</v>
      </c>
      <c r="G63" s="49"/>
      <c r="H63" s="49"/>
      <c r="I63" s="49"/>
      <c r="J63" s="49"/>
      <c r="K63" s="49"/>
    </row>
    <row r="64" spans="1:11">
      <c r="A64" s="67" t="s">
        <v>65</v>
      </c>
      <c r="B64" s="51">
        <v>7009</v>
      </c>
      <c r="C64" s="51">
        <v>7231</v>
      </c>
      <c r="D64" s="51">
        <v>7390</v>
      </c>
      <c r="E64" s="51">
        <v>6970</v>
      </c>
      <c r="F64" s="51">
        <v>7486</v>
      </c>
      <c r="G64" s="49"/>
      <c r="H64" s="49"/>
      <c r="I64" s="49"/>
      <c r="J64" s="49"/>
      <c r="K64" s="49"/>
    </row>
    <row r="65" spans="1:1">
      <c r="A65" s="17"/>
    </row>
    <row r="66" spans="1:1">
      <c r="A66" s="17"/>
    </row>
    <row r="67" spans="1:1">
      <c r="A67" s="17"/>
    </row>
    <row r="68" spans="1:1">
      <c r="A68" s="17"/>
    </row>
    <row r="69" spans="1:1">
      <c r="A69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9948-9200-49D3-9705-0CF082260E14}">
  <dimension ref="A1:F52"/>
  <sheetViews>
    <sheetView topLeftCell="A35" workbookViewId="0">
      <selection activeCell="A47" sqref="A47"/>
    </sheetView>
  </sheetViews>
  <sheetFormatPr defaultRowHeight="14.45"/>
  <cols>
    <col min="1" max="1" width="74.7109375" customWidth="1"/>
    <col min="2" max="2" width="14.7109375" customWidth="1"/>
    <col min="3" max="3" width="17.5703125" customWidth="1"/>
    <col min="4" max="4" width="13.7109375" customWidth="1"/>
    <col min="5" max="6" width="12.28515625" bestFit="1" customWidth="1"/>
  </cols>
  <sheetData>
    <row r="1" spans="1:6" ht="15">
      <c r="A1" s="87" t="s">
        <v>113</v>
      </c>
      <c r="B1" s="93" t="s">
        <v>114</v>
      </c>
      <c r="C1" s="93" t="s">
        <v>115</v>
      </c>
      <c r="D1" s="93" t="s">
        <v>116</v>
      </c>
      <c r="E1" s="87" t="s">
        <v>117</v>
      </c>
      <c r="F1" s="87" t="s">
        <v>118</v>
      </c>
    </row>
    <row r="2" spans="1:6" ht="15">
      <c r="A2" s="94" t="s">
        <v>119</v>
      </c>
      <c r="B2" s="35"/>
    </row>
    <row r="3" spans="1:6">
      <c r="A3" s="35" t="s">
        <v>120</v>
      </c>
      <c r="B3" s="38">
        <v>17305</v>
      </c>
      <c r="C3" s="38">
        <v>13985</v>
      </c>
      <c r="D3" s="38">
        <v>14487</v>
      </c>
      <c r="E3" s="38">
        <v>12889</v>
      </c>
      <c r="F3" s="38">
        <v>21859</v>
      </c>
    </row>
    <row r="4" spans="1:6">
      <c r="A4" s="35" t="s">
        <v>121</v>
      </c>
      <c r="B4" s="38">
        <v>1982</v>
      </c>
      <c r="C4" s="38">
        <v>11200</v>
      </c>
      <c r="D4" s="38">
        <v>17121</v>
      </c>
      <c r="E4" s="38">
        <v>9392</v>
      </c>
      <c r="F4" s="38">
        <v>1068</v>
      </c>
    </row>
    <row r="5" spans="1:6">
      <c r="A5" s="35" t="s">
        <v>122</v>
      </c>
      <c r="B5" s="38">
        <v>14481</v>
      </c>
      <c r="C5" s="38">
        <v>13576</v>
      </c>
      <c r="D5" s="38">
        <v>15283</v>
      </c>
      <c r="E5" s="38">
        <v>14039</v>
      </c>
      <c r="F5" s="38">
        <v>14873</v>
      </c>
    </row>
    <row r="6" spans="1:6">
      <c r="A6" s="35" t="s">
        <v>123</v>
      </c>
      <c r="B6" s="38">
        <v>9020</v>
      </c>
      <c r="C6" s="38">
        <v>9344</v>
      </c>
      <c r="D6" s="38">
        <v>10387</v>
      </c>
      <c r="E6" s="38">
        <v>10268</v>
      </c>
      <c r="F6" s="38">
        <v>11181</v>
      </c>
    </row>
    <row r="7" spans="1:6">
      <c r="A7" s="35" t="s">
        <v>124</v>
      </c>
      <c r="B7" s="38">
        <v>2392</v>
      </c>
      <c r="C7" s="38">
        <v>3132</v>
      </c>
      <c r="D7" s="38">
        <v>3701</v>
      </c>
      <c r="E7" s="38">
        <v>2876</v>
      </c>
      <c r="F7" s="38">
        <v>4514</v>
      </c>
    </row>
    <row r="8" spans="1:6">
      <c r="A8" s="35" t="s">
        <v>125</v>
      </c>
      <c r="B8" s="38"/>
      <c r="C8" s="38"/>
      <c r="D8" s="38"/>
      <c r="E8" s="38">
        <v>5830</v>
      </c>
      <c r="F8" s="9"/>
    </row>
    <row r="9" spans="1:6">
      <c r="A9" s="35" t="s">
        <v>126</v>
      </c>
      <c r="B9" s="38">
        <v>94</v>
      </c>
      <c r="C9" s="12"/>
      <c r="D9" s="12"/>
      <c r="E9" s="9"/>
      <c r="F9" s="9"/>
    </row>
    <row r="10" spans="1:6" s="1" customFormat="1" ht="15">
      <c r="A10" s="94" t="s">
        <v>127</v>
      </c>
      <c r="B10" s="39">
        <f>SUM(B3:B9)</f>
        <v>45274</v>
      </c>
      <c r="C10" s="39">
        <f t="shared" ref="C10:F10" si="0">SUM(C3:C9)</f>
        <v>51237</v>
      </c>
      <c r="D10" s="39">
        <f t="shared" si="0"/>
        <v>60979</v>
      </c>
      <c r="E10" s="39">
        <f t="shared" si="0"/>
        <v>55294</v>
      </c>
      <c r="F10" s="39">
        <f t="shared" si="0"/>
        <v>53495</v>
      </c>
    </row>
    <row r="11" spans="1:6">
      <c r="A11" s="35" t="s">
        <v>128</v>
      </c>
      <c r="B11" s="38">
        <v>17658</v>
      </c>
      <c r="C11" s="38">
        <v>18766</v>
      </c>
      <c r="D11" s="38">
        <v>18962</v>
      </c>
      <c r="E11" s="38">
        <v>17982</v>
      </c>
      <c r="F11" s="38">
        <v>19898</v>
      </c>
    </row>
    <row r="12" spans="1:6">
      <c r="A12" s="35" t="s">
        <v>129</v>
      </c>
      <c r="B12" s="38">
        <v>47643</v>
      </c>
      <c r="C12" s="38">
        <v>53402</v>
      </c>
      <c r="D12" s="38">
        <v>46392</v>
      </c>
      <c r="E12" s="38">
        <v>38489</v>
      </c>
      <c r="F12" s="38">
        <v>34175</v>
      </c>
    </row>
    <row r="13" spans="1:6">
      <c r="A13" s="35" t="s">
        <v>130</v>
      </c>
      <c r="B13" s="38">
        <v>33639</v>
      </c>
      <c r="C13" s="38">
        <v>36393</v>
      </c>
      <c r="D13" s="38">
        <v>35246</v>
      </c>
      <c r="E13" s="38">
        <v>36047</v>
      </c>
      <c r="F13" s="38">
        <v>36558</v>
      </c>
    </row>
    <row r="14" spans="1:6">
      <c r="A14" s="35" t="s">
        <v>131</v>
      </c>
      <c r="B14" s="38">
        <v>7819</v>
      </c>
      <c r="C14" s="38">
        <v>8534</v>
      </c>
      <c r="D14" s="38">
        <v>10223</v>
      </c>
      <c r="E14" s="38">
        <v>8947</v>
      </c>
      <c r="F14" s="38">
        <v>9279</v>
      </c>
    </row>
    <row r="15" spans="1:6">
      <c r="A15" s="35" t="s">
        <v>132</v>
      </c>
      <c r="B15" s="38">
        <v>5695</v>
      </c>
      <c r="C15" s="38">
        <v>6562</v>
      </c>
      <c r="D15" s="38">
        <v>10216</v>
      </c>
      <c r="E15" s="38">
        <v>9212</v>
      </c>
      <c r="F15" s="38">
        <v>14153</v>
      </c>
    </row>
    <row r="16" spans="1:6">
      <c r="A16" s="35" t="s">
        <v>133</v>
      </c>
      <c r="B16" s="38"/>
      <c r="C16" s="38"/>
      <c r="D16" s="38"/>
      <c r="E16" s="38">
        <v>21407</v>
      </c>
      <c r="F16" s="35" t="s">
        <v>134</v>
      </c>
    </row>
    <row r="17" spans="1:6" ht="15">
      <c r="A17" s="94" t="s">
        <v>135</v>
      </c>
      <c r="B17" s="39">
        <f>SUM(B10:B16)</f>
        <v>157728</v>
      </c>
      <c r="C17" s="39">
        <f t="shared" ref="C17:F17" si="1">SUM(C10:C16)</f>
        <v>174894</v>
      </c>
      <c r="D17" s="39">
        <f t="shared" si="1"/>
        <v>182018</v>
      </c>
      <c r="E17" s="39">
        <f t="shared" si="1"/>
        <v>187378</v>
      </c>
      <c r="F17" s="39">
        <f t="shared" si="1"/>
        <v>167558</v>
      </c>
    </row>
    <row r="18" spans="1:6">
      <c r="C18" s="12"/>
      <c r="E18" s="9"/>
      <c r="F18" s="9"/>
    </row>
    <row r="19" spans="1:6">
      <c r="C19" s="12"/>
      <c r="D19" s="12"/>
    </row>
    <row r="20" spans="1:6" ht="15">
      <c r="A20" s="95" t="s">
        <v>136</v>
      </c>
      <c r="B20" s="95"/>
      <c r="C20" s="96"/>
      <c r="D20" s="96"/>
      <c r="E20" s="97"/>
      <c r="F20" s="97"/>
    </row>
    <row r="21" spans="1:6" ht="15">
      <c r="A21" s="94" t="s">
        <v>137</v>
      </c>
      <c r="B21" s="35"/>
      <c r="C21" s="12"/>
      <c r="D21" s="12"/>
      <c r="E21" s="9"/>
      <c r="F21" s="9"/>
    </row>
    <row r="22" spans="1:6">
      <c r="A22" s="35" t="s">
        <v>138</v>
      </c>
      <c r="B22" s="38">
        <v>1202</v>
      </c>
      <c r="C22" s="38">
        <v>2631</v>
      </c>
      <c r="D22" s="38">
        <v>3766</v>
      </c>
      <c r="E22" s="38">
        <v>12756</v>
      </c>
      <c r="F22" s="38">
        <v>3451</v>
      </c>
    </row>
    <row r="23" spans="1:6">
      <c r="A23" s="35" t="s">
        <v>139</v>
      </c>
      <c r="B23" s="38">
        <v>8544</v>
      </c>
      <c r="C23" s="38">
        <v>9505</v>
      </c>
      <c r="D23" s="38">
        <v>11055</v>
      </c>
      <c r="E23" s="38">
        <v>9889</v>
      </c>
      <c r="F23" s="38">
        <v>9632</v>
      </c>
    </row>
    <row r="24" spans="1:6">
      <c r="A24" s="35" t="s">
        <v>140</v>
      </c>
      <c r="B24" s="38">
        <v>9715</v>
      </c>
      <c r="C24" s="38">
        <v>13968</v>
      </c>
      <c r="D24" s="38">
        <v>13612</v>
      </c>
      <c r="E24" s="38">
        <v>10719</v>
      </c>
      <c r="F24" s="38">
        <v>10212</v>
      </c>
    </row>
    <row r="25" spans="1:6">
      <c r="A25" s="35" t="s">
        <v>141</v>
      </c>
      <c r="B25" s="38">
        <v>10883</v>
      </c>
      <c r="C25" s="38">
        <v>11513</v>
      </c>
      <c r="D25" s="38">
        <v>12095</v>
      </c>
      <c r="E25" s="38">
        <v>13579</v>
      </c>
      <c r="F25" s="38">
        <v>16001</v>
      </c>
    </row>
    <row r="26" spans="1:6">
      <c r="A26" s="35" t="s">
        <v>142</v>
      </c>
      <c r="B26" s="38">
        <v>3354</v>
      </c>
      <c r="C26" s="38">
        <v>3484</v>
      </c>
      <c r="D26" s="38">
        <v>3586</v>
      </c>
      <c r="E26" s="38">
        <v>3049</v>
      </c>
      <c r="F26" s="38">
        <v>3993</v>
      </c>
    </row>
    <row r="27" spans="1:6">
      <c r="A27" s="35" t="s">
        <v>143</v>
      </c>
      <c r="B27" s="38">
        <v>2266</v>
      </c>
      <c r="C27" s="38">
        <v>1392</v>
      </c>
      <c r="D27" s="38">
        <v>1112</v>
      </c>
      <c r="E27" s="38">
        <v>2220</v>
      </c>
      <c r="F27" s="38">
        <v>2993</v>
      </c>
    </row>
    <row r="28" spans="1:6">
      <c r="A28" s="35" t="s">
        <v>144</v>
      </c>
      <c r="B28" s="38"/>
      <c r="C28" s="38"/>
      <c r="D28" s="38"/>
      <c r="E28" s="38">
        <v>3590</v>
      </c>
      <c r="F28" s="35" t="s">
        <v>134</v>
      </c>
    </row>
    <row r="29" spans="1:6" s="1" customFormat="1" ht="15">
      <c r="A29" s="94" t="s">
        <v>145</v>
      </c>
      <c r="B29" s="39">
        <f>SUM(B22:B28)</f>
        <v>35964</v>
      </c>
      <c r="C29" s="39">
        <f t="shared" ref="C29:F29" si="2">SUM(C22:C28)</f>
        <v>42493</v>
      </c>
      <c r="D29" s="39">
        <f t="shared" si="2"/>
        <v>45226</v>
      </c>
      <c r="E29" s="39">
        <f t="shared" si="2"/>
        <v>55802</v>
      </c>
      <c r="F29" s="39">
        <f t="shared" si="2"/>
        <v>46282</v>
      </c>
    </row>
    <row r="30" spans="1:6">
      <c r="A30" s="35" t="s">
        <v>146</v>
      </c>
      <c r="B30" s="38">
        <v>26494</v>
      </c>
      <c r="C30" s="38">
        <v>32635</v>
      </c>
      <c r="D30" s="38">
        <v>29985</v>
      </c>
      <c r="E30" s="38">
        <v>26886</v>
      </c>
      <c r="F30" s="38">
        <v>25881</v>
      </c>
    </row>
    <row r="31" spans="1:6">
      <c r="A31" s="35" t="s">
        <v>131</v>
      </c>
      <c r="B31" s="38">
        <v>5958</v>
      </c>
      <c r="C31" s="38">
        <v>7214</v>
      </c>
      <c r="D31" s="38">
        <v>7487</v>
      </c>
      <c r="E31" s="38">
        <v>3991</v>
      </c>
      <c r="F31" s="38">
        <v>3193</v>
      </c>
    </row>
    <row r="32" spans="1:6">
      <c r="A32" s="35" t="s">
        <v>147</v>
      </c>
      <c r="B32" s="38">
        <v>10663</v>
      </c>
      <c r="C32" s="38">
        <v>10771</v>
      </c>
      <c r="D32" s="38">
        <v>8898</v>
      </c>
      <c r="E32" s="38">
        <v>6542</v>
      </c>
      <c r="F32" s="38">
        <v>7149</v>
      </c>
    </row>
    <row r="33" spans="1:6">
      <c r="A33" s="35" t="s">
        <v>148</v>
      </c>
      <c r="B33" s="38">
        <v>7444</v>
      </c>
      <c r="C33" s="38">
        <v>6559</v>
      </c>
      <c r="D33" s="38">
        <v>5713</v>
      </c>
      <c r="E33" s="38">
        <v>4306</v>
      </c>
      <c r="F33" s="38">
        <v>2881</v>
      </c>
    </row>
    <row r="34" spans="1:6">
      <c r="A34" s="35" t="s">
        <v>149</v>
      </c>
      <c r="B34" s="38">
        <v>11734</v>
      </c>
      <c r="C34" s="38">
        <v>11944</v>
      </c>
      <c r="D34" s="38">
        <v>10686</v>
      </c>
      <c r="E34" s="38">
        <v>10146</v>
      </c>
      <c r="F34" s="38">
        <v>13398</v>
      </c>
    </row>
    <row r="35" spans="1:6">
      <c r="A35" s="35" t="s">
        <v>150</v>
      </c>
      <c r="B35" s="38"/>
      <c r="C35" s="38"/>
      <c r="D35" s="38"/>
      <c r="E35" s="38">
        <v>2901</v>
      </c>
      <c r="F35" s="35" t="s">
        <v>134</v>
      </c>
    </row>
    <row r="36" spans="1:6" ht="15">
      <c r="A36" s="94" t="s">
        <v>151</v>
      </c>
      <c r="B36" s="39">
        <f>SUM(B29:B35)</f>
        <v>98257</v>
      </c>
      <c r="C36" s="39">
        <f t="shared" ref="C36:F36" si="3">SUM(C29:C35)</f>
        <v>111616</v>
      </c>
      <c r="D36" s="39">
        <f t="shared" si="3"/>
        <v>107995</v>
      </c>
      <c r="E36" s="39">
        <f t="shared" si="3"/>
        <v>110574</v>
      </c>
      <c r="F36" s="39">
        <f t="shared" si="3"/>
        <v>98784</v>
      </c>
    </row>
    <row r="37" spans="1:6" ht="15">
      <c r="A37" s="94" t="s">
        <v>152</v>
      </c>
      <c r="B37" s="35"/>
      <c r="C37" s="12"/>
      <c r="D37" s="12"/>
    </row>
    <row r="38" spans="1:6">
      <c r="C38" s="12"/>
      <c r="D38" s="12"/>
      <c r="E38" s="9"/>
      <c r="F38" s="9"/>
    </row>
    <row r="39" spans="1:6">
      <c r="C39" s="12"/>
      <c r="D39" s="12"/>
      <c r="E39" s="9"/>
      <c r="F39" s="9"/>
    </row>
    <row r="40" spans="1:6" ht="15">
      <c r="A40" s="95" t="s">
        <v>153</v>
      </c>
      <c r="B40" s="95"/>
      <c r="C40" s="96"/>
      <c r="D40" s="96"/>
      <c r="E40" s="87"/>
      <c r="F40" s="87"/>
    </row>
    <row r="41" spans="1:6">
      <c r="A41" s="35" t="s">
        <v>154</v>
      </c>
      <c r="B41" s="35" t="s">
        <v>134</v>
      </c>
      <c r="C41" s="35" t="s">
        <v>134</v>
      </c>
      <c r="D41" s="35" t="s">
        <v>134</v>
      </c>
      <c r="E41" s="35" t="s">
        <v>134</v>
      </c>
      <c r="F41" s="35" t="s">
        <v>134</v>
      </c>
    </row>
    <row r="42" spans="1:6">
      <c r="A42" s="35" t="s">
        <v>155</v>
      </c>
      <c r="B42" s="38">
        <v>3120</v>
      </c>
      <c r="C42" s="38">
        <v>3120</v>
      </c>
      <c r="D42" s="38">
        <v>3120</v>
      </c>
      <c r="E42" s="38">
        <v>3120</v>
      </c>
      <c r="F42" s="38">
        <v>3120</v>
      </c>
    </row>
    <row r="43" spans="1:6">
      <c r="A43" s="35" t="s">
        <v>156</v>
      </c>
      <c r="B43" s="38">
        <v>-15891</v>
      </c>
      <c r="C43" s="38">
        <v>-15242</v>
      </c>
      <c r="D43" s="38">
        <v>-13058</v>
      </c>
      <c r="E43" s="38">
        <v>-12967</v>
      </c>
      <c r="F43" s="38">
        <v>-12527</v>
      </c>
    </row>
    <row r="44" spans="1:6">
      <c r="A44" s="35" t="s">
        <v>157</v>
      </c>
      <c r="B44" s="38">
        <v>110659</v>
      </c>
      <c r="C44" s="38">
        <v>113890</v>
      </c>
      <c r="D44" s="38">
        <v>123060</v>
      </c>
      <c r="E44" s="38">
        <v>128345</v>
      </c>
      <c r="F44" s="38">
        <v>153843</v>
      </c>
    </row>
    <row r="45" spans="1:6">
      <c r="A45" s="35" t="s">
        <v>158</v>
      </c>
      <c r="B45" s="38">
        <v>-38417</v>
      </c>
      <c r="C45" s="40">
        <v>101768</v>
      </c>
      <c r="D45" s="40">
        <v>113122</v>
      </c>
      <c r="E45" s="40">
        <v>41694</v>
      </c>
      <c r="F45" s="40">
        <v>75662</v>
      </c>
    </row>
    <row r="46" spans="1:6" s="1" customFormat="1" ht="15">
      <c r="A46" s="94" t="s">
        <v>159</v>
      </c>
      <c r="B46" s="39">
        <v>59471</v>
      </c>
      <c r="C46" s="39">
        <v>63278</v>
      </c>
      <c r="D46" s="39">
        <v>74023</v>
      </c>
      <c r="E46" s="39">
        <v>76804</v>
      </c>
      <c r="F46" s="39">
        <v>68774</v>
      </c>
    </row>
    <row r="47" spans="1:6" ht="15">
      <c r="A47" s="94" t="s">
        <v>160</v>
      </c>
      <c r="B47" s="39">
        <f>SUM(B36,B46)</f>
        <v>157728</v>
      </c>
      <c r="C47" s="39">
        <f t="shared" ref="C47:F47" si="4">SUM(C36,C46)</f>
        <v>174894</v>
      </c>
      <c r="D47" s="39">
        <f t="shared" si="4"/>
        <v>182018</v>
      </c>
      <c r="E47" s="39">
        <f t="shared" si="4"/>
        <v>187378</v>
      </c>
      <c r="F47" s="39">
        <f t="shared" si="4"/>
        <v>167558</v>
      </c>
    </row>
    <row r="48" spans="1:6">
      <c r="A48" s="36"/>
      <c r="B48" s="37"/>
      <c r="D48" s="13"/>
    </row>
    <row r="50" spans="1:6">
      <c r="A50" s="16" t="s">
        <v>161</v>
      </c>
    </row>
    <row r="51" spans="1:6">
      <c r="A51" s="22" t="s">
        <v>162</v>
      </c>
      <c r="C51" s="19">
        <f>C11-B11</f>
        <v>1108</v>
      </c>
      <c r="D51" s="19">
        <f>D11-C11</f>
        <v>196</v>
      </c>
      <c r="E51" s="19">
        <f>E11-D11</f>
        <v>-980</v>
      </c>
      <c r="F51" s="19">
        <f>F11-E11</f>
        <v>1916</v>
      </c>
    </row>
    <row r="52" spans="1:6">
      <c r="A52" t="s">
        <v>22</v>
      </c>
      <c r="B52" s="19">
        <f>B10-B29</f>
        <v>9310</v>
      </c>
      <c r="C52" s="19">
        <f>C10-C29</f>
        <v>8744</v>
      </c>
      <c r="D52" s="19">
        <f>D10-D29</f>
        <v>15753</v>
      </c>
      <c r="E52" s="19">
        <f>E10-E29</f>
        <v>-508</v>
      </c>
      <c r="F52" s="19">
        <f>F10-F29</f>
        <v>7213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5A7A-1111-4030-B164-5231311FA389}">
  <dimension ref="A2:F70"/>
  <sheetViews>
    <sheetView workbookViewId="0">
      <selection activeCell="A67" sqref="A67"/>
    </sheetView>
  </sheetViews>
  <sheetFormatPr defaultRowHeight="14.45"/>
  <cols>
    <col min="1" max="1" width="102.7109375" customWidth="1"/>
    <col min="2" max="2" width="15" customWidth="1"/>
    <col min="3" max="3" width="16" bestFit="1" customWidth="1"/>
    <col min="4" max="4" width="13.28515625" customWidth="1"/>
    <col min="5" max="5" width="13.140625" customWidth="1"/>
    <col min="6" max="6" width="14.28515625" customWidth="1"/>
  </cols>
  <sheetData>
    <row r="2" spans="1:6" ht="15">
      <c r="A2" s="87" t="s">
        <v>163</v>
      </c>
      <c r="B2" s="89" t="s">
        <v>114</v>
      </c>
      <c r="C2" s="89" t="s">
        <v>115</v>
      </c>
      <c r="D2" s="89" t="s">
        <v>116</v>
      </c>
      <c r="E2" s="89" t="s">
        <v>117</v>
      </c>
      <c r="F2" s="93" t="s">
        <v>118</v>
      </c>
    </row>
    <row r="3" spans="1:6" ht="15">
      <c r="A3" s="94" t="s">
        <v>164</v>
      </c>
      <c r="D3" s="11" t="s">
        <v>165</v>
      </c>
      <c r="E3" s="11" t="s">
        <v>165</v>
      </c>
      <c r="F3" s="11" t="s">
        <v>165</v>
      </c>
    </row>
    <row r="4" spans="1:6">
      <c r="A4" s="35" t="s">
        <v>166</v>
      </c>
      <c r="B4" s="38">
        <v>15119</v>
      </c>
      <c r="C4" s="38">
        <v>14714</v>
      </c>
      <c r="D4" s="38">
        <v>20878</v>
      </c>
      <c r="E4" s="38">
        <v>17941</v>
      </c>
      <c r="F4" s="38">
        <v>35153</v>
      </c>
    </row>
    <row r="5" spans="1:6">
      <c r="A5" s="35" t="s">
        <v>167</v>
      </c>
      <c r="B5" s="35"/>
      <c r="C5" s="35"/>
      <c r="D5" s="35"/>
      <c r="E5" s="35"/>
      <c r="F5" s="35"/>
    </row>
    <row r="6" spans="1:6">
      <c r="A6" s="35" t="s">
        <v>168</v>
      </c>
      <c r="B6" s="38">
        <v>7009</v>
      </c>
      <c r="C6" s="38">
        <v>7231</v>
      </c>
      <c r="D6" s="37">
        <v>7390</v>
      </c>
      <c r="E6" s="37">
        <v>6970</v>
      </c>
      <c r="F6" s="37">
        <v>7486</v>
      </c>
    </row>
    <row r="7" spans="1:6">
      <c r="A7" s="35" t="s">
        <v>169</v>
      </c>
      <c r="B7" s="38">
        <v>977</v>
      </c>
      <c r="C7" s="38">
        <v>1005</v>
      </c>
      <c r="D7" s="37">
        <v>1135</v>
      </c>
      <c r="E7" s="37">
        <v>1138</v>
      </c>
      <c r="F7" s="37">
        <v>1162</v>
      </c>
    </row>
    <row r="8" spans="1:6">
      <c r="A8" s="35" t="s">
        <v>170</v>
      </c>
      <c r="B8" s="38">
        <v>1096</v>
      </c>
      <c r="C8" s="38">
        <v>233</v>
      </c>
      <c r="D8" s="35">
        <v>989</v>
      </c>
      <c r="E8" s="37">
        <v>1216</v>
      </c>
      <c r="F8" s="37">
        <v>1295</v>
      </c>
    </row>
    <row r="9" spans="1:6">
      <c r="A9" s="35" t="s">
        <v>171</v>
      </c>
      <c r="B9" s="35" t="s">
        <v>134</v>
      </c>
      <c r="C9" s="38">
        <v>-1148</v>
      </c>
      <c r="D9" s="35" t="s">
        <v>134</v>
      </c>
      <c r="E9" s="35" t="s">
        <v>134</v>
      </c>
      <c r="F9" s="35">
        <v>483</v>
      </c>
    </row>
    <row r="10" spans="1:6">
      <c r="A10" s="35" t="s">
        <v>172</v>
      </c>
      <c r="B10" s="35"/>
      <c r="C10" s="38"/>
      <c r="D10" s="35" t="s">
        <v>134</v>
      </c>
      <c r="E10" s="35" t="s">
        <v>134</v>
      </c>
      <c r="F10" s="43">
        <v>-20984</v>
      </c>
    </row>
    <row r="11" spans="1:6">
      <c r="A11" s="35" t="s">
        <v>173</v>
      </c>
      <c r="B11" s="35"/>
      <c r="C11" s="38"/>
      <c r="D11" s="43">
        <v>-617</v>
      </c>
      <c r="E11" s="43">
        <v>-380</v>
      </c>
      <c r="F11" s="43">
        <v>-117</v>
      </c>
    </row>
    <row r="12" spans="1:6">
      <c r="A12" s="35" t="s">
        <v>174</v>
      </c>
      <c r="B12" s="38">
        <v>-2154</v>
      </c>
      <c r="C12" s="38">
        <v>-111</v>
      </c>
      <c r="D12" s="43">
        <v>-2079</v>
      </c>
      <c r="E12" s="43">
        <v>-1663</v>
      </c>
      <c r="F12" s="43">
        <v>-4194</v>
      </c>
    </row>
    <row r="13" spans="1:6">
      <c r="A13" s="35" t="s">
        <v>175</v>
      </c>
      <c r="B13" s="38">
        <v>-2476</v>
      </c>
      <c r="C13" s="38">
        <v>-1141</v>
      </c>
      <c r="D13" s="43">
        <v>-48</v>
      </c>
      <c r="E13" s="43">
        <v>-17</v>
      </c>
      <c r="F13" s="35" t="s">
        <v>134</v>
      </c>
    </row>
    <row r="14" spans="1:6">
      <c r="A14" s="35" t="s">
        <v>176</v>
      </c>
      <c r="B14" s="38">
        <v>-20</v>
      </c>
      <c r="C14" s="38">
        <v>63</v>
      </c>
      <c r="D14" s="42">
        <v>-27</v>
      </c>
      <c r="E14" s="12">
        <v>140</v>
      </c>
      <c r="F14" s="12">
        <v>0</v>
      </c>
    </row>
    <row r="15" spans="1:6">
      <c r="A15" s="35" t="s">
        <v>177</v>
      </c>
      <c r="B15" s="38">
        <v>-289</v>
      </c>
      <c r="C15" s="38">
        <v>774</v>
      </c>
      <c r="D15" s="43">
        <v>-2402</v>
      </c>
      <c r="E15" s="43">
        <v>-1290</v>
      </c>
      <c r="F15" s="43">
        <v>-624</v>
      </c>
    </row>
    <row r="16" spans="1:6">
      <c r="A16" s="35" t="s">
        <v>178</v>
      </c>
      <c r="B16" s="38">
        <v>-277</v>
      </c>
      <c r="C16" s="38">
        <v>-265</v>
      </c>
      <c r="D16" s="43">
        <v>-1248</v>
      </c>
      <c r="E16" s="43">
        <v>-2527</v>
      </c>
      <c r="F16" s="43">
        <v>-1323</v>
      </c>
    </row>
    <row r="17" spans="1:6">
      <c r="A17" s="35" t="s">
        <v>179</v>
      </c>
      <c r="B17" s="38">
        <v>4060</v>
      </c>
      <c r="C17" s="38">
        <v>5141</v>
      </c>
      <c r="D17" s="37">
        <v>2437</v>
      </c>
      <c r="E17" s="37">
        <v>1098</v>
      </c>
      <c r="F17" s="37">
        <v>2346</v>
      </c>
    </row>
    <row r="18" spans="1:6">
      <c r="A18" s="35" t="s">
        <v>180</v>
      </c>
      <c r="B18" s="38">
        <v>-1054</v>
      </c>
      <c r="C18" s="38">
        <v>-3704</v>
      </c>
      <c r="D18" s="43">
        <v>-1964</v>
      </c>
      <c r="E18" s="35">
        <v>687</v>
      </c>
      <c r="F18" s="43">
        <v>-3480</v>
      </c>
    </row>
    <row r="19" spans="1:6">
      <c r="A19" s="35" t="s">
        <v>181</v>
      </c>
      <c r="B19" s="38">
        <v>1425</v>
      </c>
      <c r="C19" s="38">
        <v>744</v>
      </c>
      <c r="D19" s="43">
        <v>-1061</v>
      </c>
      <c r="E19" s="43">
        <v>-1979</v>
      </c>
      <c r="F19" s="37">
        <v>5588</v>
      </c>
    </row>
    <row r="20" spans="1:6" s="1" customFormat="1" ht="15">
      <c r="A20" s="94" t="s">
        <v>182</v>
      </c>
      <c r="B20" s="39">
        <v>23416</v>
      </c>
      <c r="C20" s="39">
        <v>23536</v>
      </c>
      <c r="D20" s="41">
        <v>23410</v>
      </c>
      <c r="E20" s="41">
        <v>21194</v>
      </c>
      <c r="F20" s="41">
        <v>22791</v>
      </c>
    </row>
    <row r="21" spans="1:6">
      <c r="A21" s="35"/>
      <c r="B21" s="35"/>
      <c r="C21" s="35"/>
      <c r="D21" s="12">
        <v>793</v>
      </c>
      <c r="E21" s="12">
        <v>1131</v>
      </c>
      <c r="F21" s="12">
        <v>1532</v>
      </c>
    </row>
    <row r="22" spans="1:6" ht="15">
      <c r="A22" s="94" t="s">
        <v>183</v>
      </c>
      <c r="B22" s="35"/>
      <c r="C22" s="35"/>
      <c r="D22" s="12">
        <v>11497</v>
      </c>
      <c r="E22" s="12">
        <v>14724</v>
      </c>
      <c r="F22" s="12">
        <v>13256</v>
      </c>
    </row>
    <row r="23" spans="1:6">
      <c r="A23" s="35" t="s">
        <v>184</v>
      </c>
      <c r="B23" s="38">
        <v>-3498</v>
      </c>
      <c r="C23" s="38">
        <v>-3347</v>
      </c>
      <c r="D23" s="43">
        <v>-3652</v>
      </c>
      <c r="E23" s="43">
        <v>-4009</v>
      </c>
      <c r="F23" s="43">
        <v>-4543</v>
      </c>
    </row>
    <row r="24" spans="1:6">
      <c r="A24" s="35" t="s">
        <v>185</v>
      </c>
      <c r="B24" s="38">
        <v>3265</v>
      </c>
      <c r="C24" s="38">
        <v>305</v>
      </c>
      <c r="D24" s="35">
        <v>711</v>
      </c>
      <c r="E24" s="35">
        <v>543</v>
      </c>
      <c r="F24" s="35">
        <v>358</v>
      </c>
    </row>
    <row r="25" spans="1:6">
      <c r="A25" s="35" t="s">
        <v>186</v>
      </c>
      <c r="B25" s="38">
        <v>-5810</v>
      </c>
      <c r="C25" s="38">
        <v>-7323</v>
      </c>
      <c r="D25" s="43">
        <v>-60</v>
      </c>
      <c r="E25" s="43">
        <v>-17652</v>
      </c>
      <c r="F25" s="35" t="s">
        <v>134</v>
      </c>
    </row>
    <row r="26" spans="1:6">
      <c r="A26" s="35" t="s">
        <v>187</v>
      </c>
      <c r="B26" s="38"/>
      <c r="C26" s="38"/>
      <c r="D26" s="35" t="s">
        <v>134</v>
      </c>
      <c r="E26" s="35" t="s">
        <v>134</v>
      </c>
      <c r="F26" s="43">
        <v>-470</v>
      </c>
    </row>
    <row r="27" spans="1:6">
      <c r="A27" s="35" t="s">
        <v>188</v>
      </c>
      <c r="B27" s="38">
        <v>-3920</v>
      </c>
      <c r="C27" s="38">
        <v>-21089</v>
      </c>
      <c r="D27" s="43">
        <v>-30394</v>
      </c>
      <c r="E27" s="43">
        <v>-32384</v>
      </c>
      <c r="F27" s="43">
        <v>-10906</v>
      </c>
    </row>
    <row r="28" spans="1:6">
      <c r="A28" s="35" t="s">
        <v>189</v>
      </c>
      <c r="B28" s="38">
        <v>3387</v>
      </c>
      <c r="C28" s="38">
        <v>12137</v>
      </c>
      <c r="D28" s="37">
        <v>25006</v>
      </c>
      <c r="E28" s="37">
        <v>41609</v>
      </c>
      <c r="F28" s="37">
        <v>19390</v>
      </c>
    </row>
    <row r="29" spans="1:6">
      <c r="A29" s="35" t="s">
        <v>190</v>
      </c>
      <c r="B29" s="38">
        <v>338</v>
      </c>
      <c r="C29" s="38">
        <v>-987</v>
      </c>
      <c r="D29" s="35">
        <v>214</v>
      </c>
      <c r="E29" s="43">
        <v>-249</v>
      </c>
      <c r="F29" s="43">
        <v>-2963</v>
      </c>
    </row>
    <row r="30" spans="1:6">
      <c r="A30" s="35" t="s">
        <v>191</v>
      </c>
      <c r="B30" s="38">
        <v>44</v>
      </c>
      <c r="C30" s="38">
        <v>-521</v>
      </c>
      <c r="D30" s="43">
        <v>-508</v>
      </c>
      <c r="E30" s="43">
        <v>-229</v>
      </c>
      <c r="F30" s="35">
        <v>12</v>
      </c>
    </row>
    <row r="31" spans="1:6" s="1" customFormat="1" ht="15">
      <c r="A31" s="94" t="s">
        <v>192</v>
      </c>
      <c r="B31" s="39">
        <v>-6194</v>
      </c>
      <c r="C31" s="39">
        <v>-20825</v>
      </c>
      <c r="D31" s="44">
        <v>-8683</v>
      </c>
      <c r="E31" s="44">
        <v>-12371</v>
      </c>
      <c r="F31" s="36">
        <v>878</v>
      </c>
    </row>
    <row r="32" spans="1:6">
      <c r="A32" s="35"/>
      <c r="B32" s="35"/>
      <c r="C32" s="35"/>
      <c r="D32" s="12">
        <v>0</v>
      </c>
      <c r="E32" s="12">
        <v>0</v>
      </c>
      <c r="F32" s="12">
        <v>138</v>
      </c>
    </row>
    <row r="33" spans="1:6" ht="15">
      <c r="A33" s="94" t="s">
        <v>193</v>
      </c>
      <c r="B33" s="35"/>
      <c r="C33" s="35"/>
      <c r="D33" s="12">
        <v>6</v>
      </c>
      <c r="E33" s="12">
        <v>76</v>
      </c>
      <c r="F33" s="12">
        <v>0</v>
      </c>
    </row>
    <row r="34" spans="1:6">
      <c r="A34" s="35" t="s">
        <v>194</v>
      </c>
      <c r="B34" s="38">
        <v>-9917</v>
      </c>
      <c r="C34" s="38">
        <v>-10481</v>
      </c>
      <c r="D34" s="43">
        <v>-11032</v>
      </c>
      <c r="E34" s="43">
        <v>-11682</v>
      </c>
      <c r="F34" s="43">
        <v>-11770</v>
      </c>
    </row>
    <row r="35" spans="1:6">
      <c r="A35" s="35" t="s">
        <v>195</v>
      </c>
      <c r="B35" s="38">
        <v>-6746</v>
      </c>
      <c r="C35" s="38">
        <v>-3221</v>
      </c>
      <c r="D35" s="43">
        <v>-3456</v>
      </c>
      <c r="E35" s="43">
        <v>-6035</v>
      </c>
      <c r="F35" s="43">
        <v>-5054</v>
      </c>
    </row>
    <row r="36" spans="1:6">
      <c r="A36" s="35" t="s">
        <v>196</v>
      </c>
      <c r="B36" s="38">
        <v>39</v>
      </c>
      <c r="C36" s="38">
        <v>3391</v>
      </c>
      <c r="D36" s="37">
        <v>1997</v>
      </c>
      <c r="E36" s="37">
        <v>16134</v>
      </c>
      <c r="F36" s="37">
        <v>13743</v>
      </c>
    </row>
    <row r="37" spans="1:6">
      <c r="A37" s="35" t="s">
        <v>197</v>
      </c>
      <c r="B37" s="38">
        <v>-100</v>
      </c>
      <c r="C37" s="38">
        <v>-2663</v>
      </c>
      <c r="D37" s="43">
        <v>-1190</v>
      </c>
      <c r="E37" s="43">
        <v>-6550</v>
      </c>
      <c r="F37" s="43">
        <v>-22973</v>
      </c>
    </row>
    <row r="38" spans="1:6">
      <c r="A38" s="35" t="s">
        <v>198</v>
      </c>
      <c r="B38" s="38">
        <v>3</v>
      </c>
      <c r="C38" s="38">
        <v>7431</v>
      </c>
      <c r="D38" s="35">
        <v>5</v>
      </c>
      <c r="E38" s="35">
        <v>2</v>
      </c>
      <c r="F38" s="35" t="s">
        <v>134</v>
      </c>
    </row>
    <row r="39" spans="1:6">
      <c r="A39" s="35" t="s">
        <v>199</v>
      </c>
      <c r="B39" s="38">
        <v>-2823</v>
      </c>
      <c r="C39" s="38">
        <v>-1064</v>
      </c>
      <c r="D39" s="43">
        <v>-1802</v>
      </c>
      <c r="E39" s="43">
        <v>-2134</v>
      </c>
      <c r="F39" s="43">
        <v>-1551</v>
      </c>
    </row>
    <row r="40" spans="1:6">
      <c r="A40" s="35" t="s">
        <v>200</v>
      </c>
      <c r="B40" s="38">
        <v>954</v>
      </c>
      <c r="C40" s="38">
        <v>1114</v>
      </c>
      <c r="D40" s="37">
        <v>1036</v>
      </c>
      <c r="E40" s="37">
        <v>1329</v>
      </c>
      <c r="F40" s="37">
        <v>1094</v>
      </c>
    </row>
    <row r="41" spans="1:6">
      <c r="A41" s="35" t="s">
        <v>190</v>
      </c>
      <c r="B41" s="38">
        <v>100</v>
      </c>
      <c r="C41" s="38">
        <v>-333</v>
      </c>
      <c r="D41" s="35">
        <v>281</v>
      </c>
      <c r="E41" s="43">
        <v>-28</v>
      </c>
      <c r="F41" s="43">
        <v>-219</v>
      </c>
    </row>
    <row r="42" spans="1:6">
      <c r="A42" s="35" t="s">
        <v>201</v>
      </c>
      <c r="B42" s="38"/>
      <c r="C42" s="38"/>
      <c r="D42" s="35" t="s">
        <v>134</v>
      </c>
      <c r="E42" s="35" t="s">
        <v>134</v>
      </c>
      <c r="F42" s="37">
        <v>8047</v>
      </c>
    </row>
    <row r="43" spans="1:6">
      <c r="A43" s="35" t="s">
        <v>202</v>
      </c>
      <c r="B43" s="38"/>
      <c r="C43" s="38"/>
      <c r="D43" s="35" t="s">
        <v>134</v>
      </c>
      <c r="E43" s="35" t="s">
        <v>134</v>
      </c>
      <c r="F43" s="37">
        <v>4241</v>
      </c>
    </row>
    <row r="44" spans="1:6">
      <c r="A44" s="35" t="s">
        <v>203</v>
      </c>
      <c r="B44" s="38"/>
      <c r="C44" s="38"/>
      <c r="D44" s="35" t="s">
        <v>134</v>
      </c>
      <c r="E44" s="35" t="s">
        <v>134</v>
      </c>
      <c r="F44" s="43">
        <v>-1114</v>
      </c>
    </row>
    <row r="45" spans="1:6">
      <c r="A45" s="35" t="s">
        <v>204</v>
      </c>
      <c r="B45" s="38">
        <v>475</v>
      </c>
      <c r="C45" s="38">
        <v>-294</v>
      </c>
      <c r="D45" s="35">
        <v>114</v>
      </c>
      <c r="E45" s="35">
        <v>93</v>
      </c>
      <c r="F45" s="43">
        <v>-269</v>
      </c>
    </row>
    <row r="46" spans="1:6" s="1" customFormat="1" ht="15">
      <c r="A46" s="94" t="s">
        <v>205</v>
      </c>
      <c r="B46" s="39">
        <v>-18015</v>
      </c>
      <c r="C46" s="39">
        <v>-6120</v>
      </c>
      <c r="D46" s="44">
        <v>-14047</v>
      </c>
      <c r="E46" s="44">
        <v>-8871</v>
      </c>
      <c r="F46" s="44">
        <v>-15825</v>
      </c>
    </row>
    <row r="47" spans="1:6">
      <c r="A47" s="35"/>
      <c r="B47" s="35"/>
      <c r="C47" s="35"/>
      <c r="D47" s="12"/>
      <c r="E47" s="12"/>
      <c r="F47" s="12"/>
    </row>
    <row r="48" spans="1:6">
      <c r="A48" s="35" t="s">
        <v>206</v>
      </c>
      <c r="B48" s="38">
        <v>-9</v>
      </c>
      <c r="C48" s="38">
        <v>89</v>
      </c>
      <c r="D48" s="43">
        <v>-178</v>
      </c>
      <c r="E48" s="43">
        <v>-312</v>
      </c>
      <c r="F48" s="43">
        <v>-112</v>
      </c>
    </row>
    <row r="49" spans="1:6">
      <c r="A49" s="35" t="s">
        <v>207</v>
      </c>
      <c r="B49" s="38">
        <v>-802</v>
      </c>
      <c r="C49" s="38">
        <v>-3320</v>
      </c>
      <c r="D49" s="35">
        <v>502</v>
      </c>
      <c r="E49" s="43">
        <v>-360</v>
      </c>
      <c r="F49" s="37">
        <v>7732</v>
      </c>
    </row>
    <row r="50" spans="1:6">
      <c r="A50" s="35" t="s">
        <v>208</v>
      </c>
      <c r="B50" s="38"/>
      <c r="C50" s="38"/>
      <c r="D50" s="37">
        <v>12697</v>
      </c>
      <c r="E50" s="37">
        <v>13309</v>
      </c>
      <c r="F50" s="37">
        <v>12889</v>
      </c>
    </row>
    <row r="51" spans="1:6">
      <c r="A51" s="35" t="s">
        <v>209</v>
      </c>
      <c r="B51" s="38"/>
      <c r="C51" s="38"/>
      <c r="D51" s="37">
        <v>1288</v>
      </c>
      <c r="E51" s="37">
        <v>1178</v>
      </c>
      <c r="F51" s="37">
        <v>1238</v>
      </c>
    </row>
    <row r="52" spans="1:6">
      <c r="A52" s="35" t="s">
        <v>210</v>
      </c>
      <c r="B52" s="38">
        <v>18107</v>
      </c>
      <c r="C52" s="38">
        <v>17305</v>
      </c>
      <c r="D52" s="37">
        <v>13985</v>
      </c>
      <c r="E52" s="37">
        <v>14487</v>
      </c>
      <c r="F52" s="37">
        <v>14127</v>
      </c>
    </row>
    <row r="53" spans="1:6">
      <c r="A53" s="35" t="s">
        <v>211</v>
      </c>
      <c r="B53" s="38"/>
      <c r="C53" s="38"/>
      <c r="D53" s="37">
        <v>13309</v>
      </c>
      <c r="E53" s="37">
        <v>12889</v>
      </c>
      <c r="F53" s="37">
        <v>21859</v>
      </c>
    </row>
    <row r="54" spans="1:6">
      <c r="A54" s="35" t="s">
        <v>212</v>
      </c>
      <c r="B54" s="38"/>
      <c r="C54" s="38"/>
      <c r="D54" s="37">
        <v>1178</v>
      </c>
      <c r="E54" s="37">
        <v>1238</v>
      </c>
      <c r="F54" s="35" t="s">
        <v>134</v>
      </c>
    </row>
    <row r="55" spans="1:6">
      <c r="A55" s="35" t="s">
        <v>213</v>
      </c>
      <c r="B55" s="38">
        <v>17305</v>
      </c>
      <c r="C55" s="38">
        <v>13985</v>
      </c>
      <c r="D55" s="37">
        <v>14487</v>
      </c>
      <c r="E55" s="37">
        <v>14127</v>
      </c>
      <c r="F55" s="38">
        <v>21859</v>
      </c>
    </row>
    <row r="56" spans="1:6">
      <c r="A56" s="35"/>
      <c r="B56" s="35"/>
      <c r="C56" s="35"/>
      <c r="D56" s="12"/>
      <c r="E56" s="12"/>
      <c r="F56" s="12"/>
    </row>
    <row r="57" spans="1:6" ht="15">
      <c r="A57" s="94" t="s">
        <v>214</v>
      </c>
      <c r="B57" s="35"/>
      <c r="C57" s="35"/>
      <c r="D57" s="12"/>
      <c r="E57" s="12"/>
      <c r="F57" s="12"/>
    </row>
    <row r="58" spans="1:6">
      <c r="A58" s="35" t="s">
        <v>215</v>
      </c>
      <c r="B58" s="35"/>
      <c r="C58" s="35"/>
      <c r="D58" s="11" t="s">
        <v>165</v>
      </c>
      <c r="E58" s="11" t="s">
        <v>165</v>
      </c>
      <c r="F58" s="11" t="s">
        <v>165</v>
      </c>
    </row>
    <row r="59" spans="1:6">
      <c r="A59" s="35" t="s">
        <v>216</v>
      </c>
      <c r="B59" s="38">
        <v>995</v>
      </c>
      <c r="C59" s="38">
        <v>904</v>
      </c>
      <c r="D59" s="35">
        <v>990</v>
      </c>
      <c r="E59" s="35">
        <v>982</v>
      </c>
      <c r="F59" s="38">
        <v>1836</v>
      </c>
    </row>
    <row r="60" spans="1:6">
      <c r="A60" s="35" t="s">
        <v>217</v>
      </c>
      <c r="B60" s="38">
        <v>925</v>
      </c>
      <c r="C60" s="38">
        <v>841</v>
      </c>
      <c r="D60" s="35">
        <v>941</v>
      </c>
      <c r="E60" s="35">
        <v>933</v>
      </c>
      <c r="F60" s="37">
        <v>1766</v>
      </c>
    </row>
    <row r="61" spans="1:6">
      <c r="A61" s="35" t="s">
        <v>218</v>
      </c>
      <c r="B61" s="38">
        <v>4191</v>
      </c>
      <c r="C61" s="38">
        <v>4619</v>
      </c>
      <c r="D61" s="37">
        <v>4768</v>
      </c>
      <c r="E61" s="37">
        <v>5223</v>
      </c>
      <c r="F61" s="37">
        <v>8574</v>
      </c>
    </row>
    <row r="62" spans="1:6">
      <c r="A62" s="35"/>
      <c r="B62" s="35"/>
      <c r="C62" s="35"/>
      <c r="D62" s="13"/>
      <c r="E62" s="13"/>
      <c r="F62" s="13"/>
    </row>
    <row r="63" spans="1:6" ht="15">
      <c r="A63" s="94" t="s">
        <v>219</v>
      </c>
      <c r="B63" s="35"/>
      <c r="C63" s="35"/>
    </row>
    <row r="64" spans="1:6">
      <c r="A64" s="35" t="s">
        <v>220</v>
      </c>
      <c r="B64" s="38">
        <v>1736</v>
      </c>
      <c r="C64" s="38">
        <v>1937</v>
      </c>
      <c r="D64" s="37">
        <v>1811</v>
      </c>
      <c r="E64" s="37">
        <v>2114</v>
      </c>
      <c r="F64" s="38">
        <v>1435</v>
      </c>
    </row>
    <row r="65" spans="1:6">
      <c r="A65" s="35" t="s">
        <v>221</v>
      </c>
      <c r="B65" s="38">
        <v>1</v>
      </c>
      <c r="C65" s="38">
        <v>27</v>
      </c>
    </row>
    <row r="66" spans="1:6">
      <c r="A66" s="35"/>
      <c r="B66" s="35"/>
      <c r="C66" s="35"/>
    </row>
    <row r="67" spans="1:6" ht="15">
      <c r="A67" s="94" t="s">
        <v>222</v>
      </c>
      <c r="B67" s="35"/>
      <c r="C67" s="35"/>
    </row>
    <row r="68" spans="1:6">
      <c r="A68" s="35" t="s">
        <v>223</v>
      </c>
      <c r="B68" s="38">
        <v>7228</v>
      </c>
      <c r="C68" s="38">
        <v>7755</v>
      </c>
      <c r="D68" s="35">
        <v>61</v>
      </c>
      <c r="E68" s="37">
        <v>18710</v>
      </c>
      <c r="F68" s="35" t="s">
        <v>134</v>
      </c>
    </row>
    <row r="69" spans="1:6">
      <c r="A69" s="35" t="s">
        <v>224</v>
      </c>
      <c r="B69" s="38">
        <v>-1418</v>
      </c>
      <c r="C69" s="38">
        <v>-432</v>
      </c>
      <c r="D69" s="43">
        <v>-1</v>
      </c>
      <c r="E69" s="43">
        <v>-1058</v>
      </c>
      <c r="F69" s="35" t="s">
        <v>134</v>
      </c>
    </row>
    <row r="70" spans="1:6">
      <c r="A70" s="35" t="s">
        <v>225</v>
      </c>
      <c r="B70" s="38">
        <v>5810</v>
      </c>
      <c r="C70" s="38">
        <v>7323</v>
      </c>
      <c r="D70" s="35">
        <v>60</v>
      </c>
      <c r="E70" s="37">
        <v>17652</v>
      </c>
      <c r="F70" s="35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E688-1701-4B8B-B35A-5BDF1D68E429}">
  <dimension ref="A1:N30"/>
  <sheetViews>
    <sheetView workbookViewId="0">
      <selection activeCell="A2" sqref="A2"/>
    </sheetView>
  </sheetViews>
  <sheetFormatPr defaultRowHeight="14.45"/>
  <cols>
    <col min="1" max="1" width="44.42578125" customWidth="1"/>
    <col min="2" max="2" width="16.28515625" customWidth="1"/>
    <col min="3" max="3" width="18.42578125" customWidth="1"/>
    <col min="4" max="4" width="13.85546875" customWidth="1"/>
    <col min="5" max="5" width="14" customWidth="1"/>
    <col min="6" max="6" width="16.28515625" customWidth="1"/>
    <col min="7" max="7" width="11.85546875" customWidth="1"/>
    <col min="8" max="8" width="15" customWidth="1"/>
    <col min="9" max="9" width="17.7109375" customWidth="1"/>
    <col min="13" max="13" width="19.5703125" bestFit="1" customWidth="1"/>
    <col min="14" max="14" width="10.28515625" customWidth="1"/>
  </cols>
  <sheetData>
    <row r="1" spans="1:14">
      <c r="A1" s="3" t="s">
        <v>226</v>
      </c>
      <c r="B1" s="4"/>
      <c r="C1" s="4"/>
      <c r="E1" s="1"/>
    </row>
    <row r="2" spans="1:14" ht="15">
      <c r="A2" s="98" t="s">
        <v>227</v>
      </c>
    </row>
    <row r="3" spans="1:14" ht="15" thickBot="1"/>
    <row r="4" spans="1:14">
      <c r="A4" s="85" t="s">
        <v>228</v>
      </c>
      <c r="B4" s="85"/>
    </row>
    <row r="5" spans="1:14">
      <c r="A5" t="s">
        <v>229</v>
      </c>
      <c r="B5">
        <v>0.15500287132649157</v>
      </c>
    </row>
    <row r="6" spans="1:14">
      <c r="A6" t="s">
        <v>230</v>
      </c>
      <c r="B6">
        <v>2.4025890119456904E-2</v>
      </c>
    </row>
    <row r="7" spans="1:14">
      <c r="A7" t="s">
        <v>231</v>
      </c>
      <c r="B7">
        <v>2.2077838003926879E-2</v>
      </c>
    </row>
    <row r="8" spans="1:14">
      <c r="A8" t="s">
        <v>232</v>
      </c>
      <c r="B8">
        <v>9.7766555700511681E-3</v>
      </c>
    </row>
    <row r="9" spans="1:14" ht="15" thickBot="1">
      <c r="A9" s="83" t="s">
        <v>233</v>
      </c>
      <c r="B9" s="83">
        <v>503</v>
      </c>
      <c r="K9" s="5" t="s">
        <v>234</v>
      </c>
      <c r="L9" s="5"/>
      <c r="M9" s="5"/>
      <c r="N9" s="5"/>
    </row>
    <row r="10" spans="1:14">
      <c r="K10" s="33">
        <f>A30+(B19*A25)</f>
        <v>5.0449502995740733E-2</v>
      </c>
    </row>
    <row r="11" spans="1:14" ht="15" thickBot="1">
      <c r="A11" t="s">
        <v>235</v>
      </c>
    </row>
    <row r="12" spans="1:14">
      <c r="A12" s="84"/>
      <c r="B12" s="84" t="s">
        <v>236</v>
      </c>
      <c r="C12" s="84" t="s">
        <v>237</v>
      </c>
      <c r="D12" s="84" t="s">
        <v>238</v>
      </c>
      <c r="E12" s="84" t="s">
        <v>239</v>
      </c>
      <c r="F12" s="84" t="s">
        <v>240</v>
      </c>
      <c r="K12" s="5" t="s">
        <v>241</v>
      </c>
      <c r="L12" s="5"/>
      <c r="M12" s="5"/>
    </row>
    <row r="13" spans="1:14">
      <c r="A13" t="s">
        <v>242</v>
      </c>
      <c r="B13">
        <v>1</v>
      </c>
      <c r="C13">
        <v>1.1788527093697862E-3</v>
      </c>
      <c r="D13">
        <v>1.1788527093697862E-3</v>
      </c>
      <c r="E13">
        <v>12.333289201002685</v>
      </c>
      <c r="F13">
        <v>4.8517459017249974E-4</v>
      </c>
      <c r="K13" s="1" t="s">
        <v>243</v>
      </c>
    </row>
    <row r="14" spans="1:14">
      <c r="A14" t="s">
        <v>244</v>
      </c>
      <c r="B14">
        <v>501</v>
      </c>
      <c r="C14">
        <v>4.7887080061841676E-2</v>
      </c>
      <c r="D14">
        <v>9.5582994135412521E-5</v>
      </c>
      <c r="K14" s="1" t="s">
        <v>245</v>
      </c>
    </row>
    <row r="15" spans="1:14" ht="15" thickBot="1">
      <c r="A15" s="83" t="s">
        <v>246</v>
      </c>
      <c r="B15" s="83">
        <v>502</v>
      </c>
      <c r="C15" s="83">
        <v>4.9065932771211462E-2</v>
      </c>
      <c r="D15" s="83"/>
      <c r="E15" s="83"/>
      <c r="F15" s="83"/>
    </row>
    <row r="16" spans="1:14" ht="15" thickBot="1">
      <c r="K16" s="6" t="s">
        <v>247</v>
      </c>
      <c r="L16" s="6" t="s">
        <v>248</v>
      </c>
    </row>
    <row r="17" spans="1:14">
      <c r="A17" s="84"/>
      <c r="B17" s="84" t="s">
        <v>249</v>
      </c>
      <c r="C17" s="84" t="s">
        <v>232</v>
      </c>
      <c r="D17" s="84" t="s">
        <v>250</v>
      </c>
      <c r="E17" s="84" t="s">
        <v>251</v>
      </c>
      <c r="F17" s="84" t="s">
        <v>252</v>
      </c>
      <c r="G17" s="84" t="s">
        <v>253</v>
      </c>
      <c r="H17" s="84" t="s">
        <v>254</v>
      </c>
      <c r="I17" s="84" t="s">
        <v>255</v>
      </c>
      <c r="K17" s="6" t="s">
        <v>256</v>
      </c>
      <c r="L17" s="86">
        <v>5.16E-2</v>
      </c>
    </row>
    <row r="18" spans="1:14">
      <c r="A18" t="s">
        <v>257</v>
      </c>
      <c r="B18">
        <v>-2.5751030898636462E-4</v>
      </c>
      <c r="C18">
        <v>4.384702754824385E-4</v>
      </c>
      <c r="D18">
        <v>-0.58729251077061517</v>
      </c>
      <c r="E18">
        <v>0.55727184454061862</v>
      </c>
      <c r="F18">
        <v>-1.118977385193842E-3</v>
      </c>
      <c r="G18">
        <v>6.0395676722111271E-4</v>
      </c>
      <c r="H18">
        <v>-1.118977385193842E-3</v>
      </c>
      <c r="I18">
        <v>6.0395676722111271E-4</v>
      </c>
    </row>
    <row r="19" spans="1:14" ht="15" thickBot="1">
      <c r="A19" s="83" t="s">
        <v>258</v>
      </c>
      <c r="B19" s="83">
        <v>0.18324036397428961</v>
      </c>
      <c r="C19" s="83">
        <v>5.217731033627955E-2</v>
      </c>
      <c r="D19" s="83">
        <v>3.5118783009955239</v>
      </c>
      <c r="E19" s="83">
        <v>4.8517459017235153E-4</v>
      </c>
      <c r="F19" s="83">
        <v>8.0727063773247329E-2</v>
      </c>
      <c r="G19" s="83">
        <v>0.28575366417533188</v>
      </c>
      <c r="H19" s="83">
        <v>8.0727063773247329E-2</v>
      </c>
      <c r="I19" s="83">
        <v>0.28575366417533188</v>
      </c>
    </row>
    <row r="21" spans="1:14">
      <c r="A21" s="3" t="s">
        <v>259</v>
      </c>
      <c r="B21" s="4"/>
      <c r="C21" s="4"/>
      <c r="K21" s="5" t="s">
        <v>260</v>
      </c>
      <c r="L21" s="5"/>
    </row>
    <row r="22" spans="1:14">
      <c r="A22" s="1" t="s">
        <v>261</v>
      </c>
      <c r="K22" t="s">
        <v>262</v>
      </c>
      <c r="M22" s="48">
        <v>368607000000</v>
      </c>
      <c r="N22" s="1"/>
    </row>
    <row r="23" spans="1:14">
      <c r="K23" t="s">
        <v>263</v>
      </c>
      <c r="M23" s="48">
        <v>3575000000</v>
      </c>
    </row>
    <row r="24" spans="1:14">
      <c r="A24" s="1" t="s">
        <v>264</v>
      </c>
    </row>
    <row r="25" spans="1:14">
      <c r="A25">
        <v>4.1200000000000001E-2</v>
      </c>
    </row>
    <row r="26" spans="1:14">
      <c r="K26" s="7" t="s">
        <v>23</v>
      </c>
    </row>
    <row r="27" spans="1:14">
      <c r="A27" s="3" t="s">
        <v>265</v>
      </c>
      <c r="B27" s="4"/>
      <c r="C27" s="4"/>
      <c r="K27">
        <f>K10*(M22/(M22+M23))+L17*(M23/(M22+M23))</f>
        <v>5.0460554112641137E-2</v>
      </c>
    </row>
    <row r="28" spans="1:14">
      <c r="A28" s="1" t="s">
        <v>266</v>
      </c>
    </row>
    <row r="29" spans="1:14">
      <c r="A29" t="s">
        <v>267</v>
      </c>
    </row>
    <row r="30" spans="1:14">
      <c r="A30">
        <v>4.2900000000000001E-2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9BCA-CEDC-4CEC-B31B-FC8AF2089D3A}">
  <dimension ref="A1:Q505"/>
  <sheetViews>
    <sheetView workbookViewId="0">
      <selection activeCell="L6" sqref="L6"/>
    </sheetView>
  </sheetViews>
  <sheetFormatPr defaultRowHeight="15"/>
  <cols>
    <col min="1" max="1" width="11.28515625" style="101" customWidth="1"/>
    <col min="4" max="4" width="10.28515625" customWidth="1"/>
    <col min="6" max="6" width="10.5703125" customWidth="1"/>
    <col min="7" max="7" width="12.28515625" customWidth="1"/>
    <col min="8" max="8" width="13.5703125" customWidth="1"/>
    <col min="9" max="9" width="16.7109375" customWidth="1"/>
    <col min="14" max="14" width="12.7109375" bestFit="1" customWidth="1"/>
  </cols>
  <sheetData>
    <row r="1" spans="1:17">
      <c r="A1" s="110" t="s">
        <v>6</v>
      </c>
      <c r="B1" s="111" t="s">
        <v>268</v>
      </c>
      <c r="C1" s="111" t="s">
        <v>269</v>
      </c>
      <c r="D1" s="111" t="s">
        <v>270</v>
      </c>
      <c r="E1" s="111" t="s">
        <v>271</v>
      </c>
      <c r="F1" s="111" t="s">
        <v>272</v>
      </c>
      <c r="G1" s="111" t="s">
        <v>273</v>
      </c>
      <c r="H1" s="104" t="s">
        <v>274</v>
      </c>
      <c r="K1" s="1"/>
    </row>
    <row r="2" spans="1:17">
      <c r="A2" s="109">
        <v>45617</v>
      </c>
      <c r="B2" s="112">
        <v>153.62</v>
      </c>
      <c r="C2" s="112">
        <v>156.05000000000001</v>
      </c>
      <c r="D2" s="112">
        <v>152.85</v>
      </c>
      <c r="E2" s="112">
        <v>155.5</v>
      </c>
      <c r="F2" s="112">
        <v>155.5</v>
      </c>
      <c r="G2" s="113">
        <v>6508808</v>
      </c>
      <c r="H2" s="107">
        <f>(F2-F3)/F3</f>
        <v>1.5609692378028778E-2</v>
      </c>
    </row>
    <row r="3" spans="1:17">
      <c r="A3" s="109">
        <v>45616</v>
      </c>
      <c r="B3" s="112">
        <v>153.03</v>
      </c>
      <c r="C3" s="112">
        <v>153.25</v>
      </c>
      <c r="D3" s="112">
        <v>151.81</v>
      </c>
      <c r="E3" s="112">
        <v>153.11000000000001</v>
      </c>
      <c r="F3" s="112">
        <v>153.11000000000001</v>
      </c>
      <c r="G3" s="113">
        <v>9061300</v>
      </c>
      <c r="H3" s="107">
        <f t="shared" ref="H3:H66" si="0">(F3-F4)/F4</f>
        <v>7.1895424836610226E-4</v>
      </c>
    </row>
    <row r="4" spans="1:17">
      <c r="A4" s="109">
        <v>45615</v>
      </c>
      <c r="B4" s="112">
        <v>153.94999999999999</v>
      </c>
      <c r="C4" s="112">
        <v>153.99</v>
      </c>
      <c r="D4" s="112">
        <v>152.05000000000001</v>
      </c>
      <c r="E4" s="112">
        <v>153</v>
      </c>
      <c r="F4" s="112">
        <v>153</v>
      </c>
      <c r="G4" s="113">
        <v>8233700</v>
      </c>
      <c r="H4" s="107">
        <f t="shared" si="0"/>
        <v>-1.1436324869160755E-2</v>
      </c>
    </row>
    <row r="5" spans="1:17">
      <c r="A5" s="109">
        <v>45614</v>
      </c>
      <c r="B5" s="112">
        <v>152.59</v>
      </c>
      <c r="C5" s="112">
        <v>155.33000000000001</v>
      </c>
      <c r="D5" s="112">
        <v>152.33000000000001</v>
      </c>
      <c r="E5" s="112">
        <v>154.77000000000001</v>
      </c>
      <c r="F5" s="112">
        <v>154.77000000000001</v>
      </c>
      <c r="G5" s="113">
        <v>7514200</v>
      </c>
      <c r="H5" s="107">
        <f t="shared" si="0"/>
        <v>5.000000000000066E-3</v>
      </c>
      <c r="L5" s="102" t="s">
        <v>275</v>
      </c>
      <c r="M5" s="102"/>
      <c r="N5" s="102" t="s">
        <v>276</v>
      </c>
      <c r="O5" s="102"/>
      <c r="P5" s="102" t="s">
        <v>277</v>
      </c>
      <c r="Q5" s="102"/>
    </row>
    <row r="6" spans="1:17">
      <c r="A6" s="109">
        <v>45611</v>
      </c>
      <c r="B6" s="112">
        <v>150.9</v>
      </c>
      <c r="C6" s="112">
        <v>154.43</v>
      </c>
      <c r="D6" s="112">
        <v>150.9</v>
      </c>
      <c r="E6" s="112">
        <v>154</v>
      </c>
      <c r="F6" s="112">
        <v>154</v>
      </c>
      <c r="G6" s="113">
        <v>11328500</v>
      </c>
      <c r="H6" s="107">
        <f t="shared" si="0"/>
        <v>1.4025153091459771E-2</v>
      </c>
      <c r="L6" s="103">
        <f>N6/P6</f>
        <v>-9.2640267196405293E-3</v>
      </c>
      <c r="M6" s="103"/>
      <c r="N6" s="103">
        <f>AVERAGE(H2:H504)</f>
        <v>-9.1656331549342618E-5</v>
      </c>
      <c r="O6" s="103"/>
      <c r="P6" s="103">
        <f>_xlfn.STDEV.S(H2:H503)</f>
        <v>9.8937896363169332E-3</v>
      </c>
      <c r="Q6" s="103"/>
    </row>
    <row r="7" spans="1:17">
      <c r="A7" s="109">
        <v>45610</v>
      </c>
      <c r="B7" s="112">
        <v>153.18</v>
      </c>
      <c r="C7" s="112">
        <v>153.59</v>
      </c>
      <c r="D7" s="112">
        <v>150.76</v>
      </c>
      <c r="E7" s="112">
        <v>151.87</v>
      </c>
      <c r="F7" s="112">
        <v>151.87</v>
      </c>
      <c r="G7" s="113">
        <v>7716400</v>
      </c>
      <c r="H7" s="107">
        <f t="shared" si="0"/>
        <v>-8.9402244844688367E-3</v>
      </c>
      <c r="I7" s="100"/>
    </row>
    <row r="8" spans="1:17">
      <c r="A8" s="109">
        <v>45609</v>
      </c>
      <c r="B8" s="112">
        <v>152.5</v>
      </c>
      <c r="C8" s="112">
        <v>153.51</v>
      </c>
      <c r="D8" s="112">
        <v>151.41999999999999</v>
      </c>
      <c r="E8" s="112">
        <v>153.24</v>
      </c>
      <c r="F8" s="112">
        <v>153.24</v>
      </c>
      <c r="G8" s="113">
        <v>7161900</v>
      </c>
      <c r="H8" s="107">
        <f t="shared" si="0"/>
        <v>3.9308176100630423E-3</v>
      </c>
      <c r="I8" s="99"/>
    </row>
    <row r="9" spans="1:17">
      <c r="A9" s="109">
        <v>45608</v>
      </c>
      <c r="B9" s="112">
        <v>154.53</v>
      </c>
      <c r="C9" s="112">
        <v>155.04</v>
      </c>
      <c r="D9" s="112">
        <v>152.37</v>
      </c>
      <c r="E9" s="112">
        <v>152.63999999999999</v>
      </c>
      <c r="F9" s="112">
        <v>152.63999999999999</v>
      </c>
      <c r="G9" s="113">
        <v>7181400</v>
      </c>
      <c r="H9" s="107">
        <f t="shared" si="0"/>
        <v>-1.547987616099075E-2</v>
      </c>
      <c r="I9" s="99"/>
    </row>
    <row r="10" spans="1:17">
      <c r="A10" s="109">
        <v>45607</v>
      </c>
      <c r="B10" s="112">
        <v>155.62</v>
      </c>
      <c r="C10" s="112">
        <v>157.58000000000001</v>
      </c>
      <c r="D10" s="112">
        <v>154.91</v>
      </c>
      <c r="E10" s="112">
        <v>155.04</v>
      </c>
      <c r="F10" s="112">
        <v>155.04</v>
      </c>
      <c r="G10" s="113">
        <v>7146800</v>
      </c>
      <c r="H10" s="107">
        <f t="shared" si="0"/>
        <v>-2.7658069080852051E-3</v>
      </c>
      <c r="I10" s="99"/>
    </row>
    <row r="11" spans="1:17">
      <c r="A11" s="109">
        <v>45604</v>
      </c>
      <c r="B11" s="112">
        <v>157</v>
      </c>
      <c r="C11" s="112">
        <v>157.08000000000001</v>
      </c>
      <c r="D11" s="112">
        <v>155.41</v>
      </c>
      <c r="E11" s="112">
        <v>155.47</v>
      </c>
      <c r="F11" s="112">
        <v>155.47</v>
      </c>
      <c r="G11" s="113">
        <v>8926100</v>
      </c>
      <c r="H11" s="107">
        <f t="shared" si="0"/>
        <v>-8.0393032603840418E-3</v>
      </c>
      <c r="I11" s="99"/>
    </row>
    <row r="12" spans="1:17">
      <c r="A12" s="109">
        <v>45603</v>
      </c>
      <c r="B12" s="112">
        <v>158.47</v>
      </c>
      <c r="C12" s="112">
        <v>158.75</v>
      </c>
      <c r="D12" s="112">
        <v>156.51</v>
      </c>
      <c r="E12" s="112">
        <v>156.72999999999999</v>
      </c>
      <c r="F12" s="112">
        <v>156.72999999999999</v>
      </c>
      <c r="G12" s="113">
        <v>7522800</v>
      </c>
      <c r="H12" s="107">
        <f t="shared" si="0"/>
        <v>-7.2840131745629958E-3</v>
      </c>
      <c r="I12" s="99"/>
    </row>
    <row r="13" spans="1:17">
      <c r="A13" s="109">
        <v>45602</v>
      </c>
      <c r="B13" s="112">
        <v>159.9</v>
      </c>
      <c r="C13" s="112">
        <v>160.85</v>
      </c>
      <c r="D13" s="112">
        <v>157.35</v>
      </c>
      <c r="E13" s="112">
        <v>157.88</v>
      </c>
      <c r="F13" s="112">
        <v>157.88</v>
      </c>
      <c r="G13" s="113">
        <v>8926600</v>
      </c>
      <c r="H13" s="107">
        <f t="shared" si="0"/>
        <v>-2.9681086201452408E-3</v>
      </c>
      <c r="I13" s="99"/>
    </row>
    <row r="14" spans="1:17">
      <c r="A14" s="109">
        <v>45601</v>
      </c>
      <c r="B14" s="112">
        <v>157.66999999999999</v>
      </c>
      <c r="C14" s="112">
        <v>158.59</v>
      </c>
      <c r="D14" s="112">
        <v>156.35</v>
      </c>
      <c r="E14" s="112">
        <v>158.35</v>
      </c>
      <c r="F14" s="112">
        <v>158.35</v>
      </c>
      <c r="G14" s="113">
        <v>6547100</v>
      </c>
      <c r="H14" s="107">
        <f t="shared" si="0"/>
        <v>6.9514661274004816E-4</v>
      </c>
      <c r="I14" s="99"/>
    </row>
    <row r="15" spans="1:17">
      <c r="A15" s="109">
        <v>45600</v>
      </c>
      <c r="B15" s="112">
        <v>159.69999999999999</v>
      </c>
      <c r="C15" s="112">
        <v>160.28</v>
      </c>
      <c r="D15" s="112">
        <v>158.07</v>
      </c>
      <c r="E15" s="112">
        <v>158.24</v>
      </c>
      <c r="F15" s="112">
        <v>158.24</v>
      </c>
      <c r="G15" s="113">
        <v>4644000</v>
      </c>
      <c r="H15" s="107">
        <f t="shared" si="0"/>
        <v>-1.1802910135514809E-2</v>
      </c>
      <c r="I15" s="99"/>
    </row>
    <row r="16" spans="1:17">
      <c r="A16" s="109">
        <v>45597</v>
      </c>
      <c r="B16" s="112">
        <v>160.58000000000001</v>
      </c>
      <c r="C16" s="112">
        <v>161.06</v>
      </c>
      <c r="D16" s="112">
        <v>159.88</v>
      </c>
      <c r="E16" s="112">
        <v>160.13</v>
      </c>
      <c r="F16" s="112">
        <v>160.13</v>
      </c>
      <c r="G16" s="113">
        <v>5256400</v>
      </c>
      <c r="H16" s="107">
        <f t="shared" si="0"/>
        <v>1.6889778556235567E-3</v>
      </c>
      <c r="I16" s="99"/>
    </row>
    <row r="17" spans="1:9">
      <c r="A17" s="109">
        <v>45596</v>
      </c>
      <c r="B17" s="112">
        <v>159.99</v>
      </c>
      <c r="C17" s="112">
        <v>160.87</v>
      </c>
      <c r="D17" s="112">
        <v>159.46</v>
      </c>
      <c r="E17" s="112">
        <v>159.86000000000001</v>
      </c>
      <c r="F17" s="112">
        <v>159.86000000000001</v>
      </c>
      <c r="G17" s="113">
        <v>8613900</v>
      </c>
      <c r="H17" s="107">
        <f t="shared" si="0"/>
        <v>-4.6696967810223519E-3</v>
      </c>
      <c r="I17" s="99"/>
    </row>
    <row r="18" spans="1:9">
      <c r="A18" s="109">
        <v>45595</v>
      </c>
      <c r="B18" s="112">
        <v>159.44999999999999</v>
      </c>
      <c r="C18" s="112">
        <v>161.28</v>
      </c>
      <c r="D18" s="112">
        <v>159.03</v>
      </c>
      <c r="E18" s="112">
        <v>160.61000000000001</v>
      </c>
      <c r="F18" s="112">
        <v>160.61000000000001</v>
      </c>
      <c r="G18" s="113">
        <v>5820500</v>
      </c>
      <c r="H18" s="107">
        <f t="shared" si="0"/>
        <v>3.2481729027422713E-3</v>
      </c>
      <c r="I18" s="47"/>
    </row>
    <row r="19" spans="1:9">
      <c r="A19" s="109">
        <v>45594</v>
      </c>
      <c r="B19" s="112">
        <v>161.46</v>
      </c>
      <c r="C19" s="112">
        <v>162.16999999999999</v>
      </c>
      <c r="D19" s="112">
        <v>160.06</v>
      </c>
      <c r="E19" s="112">
        <v>160.09</v>
      </c>
      <c r="F19" s="112">
        <v>160.09</v>
      </c>
      <c r="G19" s="113">
        <v>5216900</v>
      </c>
      <c r="H19" s="107">
        <f t="shared" si="0"/>
        <v>-9.3440594059405382E-3</v>
      </c>
      <c r="I19" s="47"/>
    </row>
    <row r="20" spans="1:9">
      <c r="A20" s="109">
        <v>45593</v>
      </c>
      <c r="B20" s="112">
        <v>161.13</v>
      </c>
      <c r="C20" s="112">
        <v>161.97</v>
      </c>
      <c r="D20" s="112">
        <v>161</v>
      </c>
      <c r="E20" s="112">
        <v>161.6</v>
      </c>
      <c r="F20" s="112">
        <v>161.6</v>
      </c>
      <c r="G20" s="113">
        <v>4842500</v>
      </c>
      <c r="H20" s="107">
        <f t="shared" si="0"/>
        <v>4.4753853804077506E-3</v>
      </c>
      <c r="I20" s="47"/>
    </row>
    <row r="21" spans="1:9">
      <c r="A21" s="109">
        <v>45590</v>
      </c>
      <c r="B21" s="112">
        <v>163.68</v>
      </c>
      <c r="C21" s="112">
        <v>163.92</v>
      </c>
      <c r="D21" s="112">
        <v>160.61000000000001</v>
      </c>
      <c r="E21" s="112">
        <v>160.88</v>
      </c>
      <c r="F21" s="112">
        <v>160.88</v>
      </c>
      <c r="G21" s="113">
        <v>6400400</v>
      </c>
      <c r="H21" s="107">
        <f t="shared" si="0"/>
        <v>-1.7046495998044798E-2</v>
      </c>
      <c r="I21" s="47"/>
    </row>
    <row r="22" spans="1:9">
      <c r="A22" s="109">
        <v>45589</v>
      </c>
      <c r="B22" s="112">
        <v>165</v>
      </c>
      <c r="C22" s="112">
        <v>165.51</v>
      </c>
      <c r="D22" s="112">
        <v>163.34</v>
      </c>
      <c r="E22" s="112">
        <v>163.66999999999999</v>
      </c>
      <c r="F22" s="112">
        <v>163.66999999999999</v>
      </c>
      <c r="G22" s="113">
        <v>5386300</v>
      </c>
      <c r="H22" s="107">
        <f t="shared" si="0"/>
        <v>-1.3203906909441855E-2</v>
      </c>
      <c r="I22" s="47"/>
    </row>
    <row r="23" spans="1:9">
      <c r="A23" s="109">
        <v>45588</v>
      </c>
      <c r="B23" s="112">
        <v>162.82</v>
      </c>
      <c r="C23" s="112">
        <v>166</v>
      </c>
      <c r="D23" s="112">
        <v>162.41999999999999</v>
      </c>
      <c r="E23" s="112">
        <v>165.86</v>
      </c>
      <c r="F23" s="112">
        <v>165.86</v>
      </c>
      <c r="G23" s="113">
        <v>7441600</v>
      </c>
      <c r="H23" s="107">
        <f t="shared" si="0"/>
        <v>1.4744570204955797E-2</v>
      </c>
      <c r="I23" s="47"/>
    </row>
    <row r="24" spans="1:9">
      <c r="A24" s="109">
        <v>45587</v>
      </c>
      <c r="B24" s="112">
        <v>162.32</v>
      </c>
      <c r="C24" s="112">
        <v>163.72999999999999</v>
      </c>
      <c r="D24" s="112">
        <v>161.9</v>
      </c>
      <c r="E24" s="112">
        <v>163.44999999999999</v>
      </c>
      <c r="F24" s="112">
        <v>163.44999999999999</v>
      </c>
      <c r="G24" s="113">
        <v>5680300</v>
      </c>
      <c r="H24" s="107">
        <f t="shared" si="0"/>
        <v>3.8076521525515941E-3</v>
      </c>
      <c r="I24" s="47"/>
    </row>
    <row r="25" spans="1:9">
      <c r="A25" s="109">
        <v>45586</v>
      </c>
      <c r="B25" s="112">
        <v>165.1</v>
      </c>
      <c r="C25" s="112">
        <v>165.25</v>
      </c>
      <c r="D25" s="112">
        <v>162.31</v>
      </c>
      <c r="E25" s="112">
        <v>162.83000000000001</v>
      </c>
      <c r="F25" s="112">
        <v>162.83000000000001</v>
      </c>
      <c r="G25" s="113">
        <v>6082700</v>
      </c>
      <c r="H25" s="107">
        <f t="shared" si="0"/>
        <v>-1.3868701550387549E-2</v>
      </c>
      <c r="I25" s="47"/>
    </row>
    <row r="26" spans="1:9">
      <c r="A26" s="109">
        <v>45583</v>
      </c>
      <c r="B26" s="112">
        <v>164.89</v>
      </c>
      <c r="C26" s="112">
        <v>165.29</v>
      </c>
      <c r="D26" s="112">
        <v>163.93</v>
      </c>
      <c r="E26" s="112">
        <v>165.12</v>
      </c>
      <c r="F26" s="112">
        <v>165.12</v>
      </c>
      <c r="G26" s="113">
        <v>5908000</v>
      </c>
      <c r="H26" s="107">
        <f t="shared" si="0"/>
        <v>3.9520885267830342E-3</v>
      </c>
      <c r="I26" s="47"/>
    </row>
    <row r="27" spans="1:9">
      <c r="A27" s="109">
        <v>45582</v>
      </c>
      <c r="B27" s="112">
        <v>164.26</v>
      </c>
      <c r="C27" s="112">
        <v>165</v>
      </c>
      <c r="D27" s="112">
        <v>163.63</v>
      </c>
      <c r="E27" s="112">
        <v>164.47</v>
      </c>
      <c r="F27" s="112">
        <v>164.47</v>
      </c>
      <c r="G27" s="113">
        <v>4798000</v>
      </c>
      <c r="H27" s="107">
        <f t="shared" si="0"/>
        <v>1.1565619673727643E-3</v>
      </c>
      <c r="I27" s="47"/>
    </row>
    <row r="28" spans="1:9">
      <c r="A28" s="109">
        <v>45581</v>
      </c>
      <c r="B28" s="112">
        <v>164</v>
      </c>
      <c r="C28" s="112">
        <v>164.99</v>
      </c>
      <c r="D28" s="112">
        <v>162.63999999999999</v>
      </c>
      <c r="E28" s="112">
        <v>164.28</v>
      </c>
      <c r="F28" s="112">
        <v>164.28</v>
      </c>
      <c r="G28" s="113">
        <v>5982100</v>
      </c>
      <c r="H28" s="107">
        <f t="shared" si="0"/>
        <v>1.0968921389397125E-3</v>
      </c>
      <c r="I28" s="47"/>
    </row>
    <row r="29" spans="1:9">
      <c r="A29" s="109">
        <v>45580</v>
      </c>
      <c r="B29" s="112">
        <v>160</v>
      </c>
      <c r="C29" s="112">
        <v>166.75</v>
      </c>
      <c r="D29" s="112">
        <v>159</v>
      </c>
      <c r="E29" s="112">
        <v>164.1</v>
      </c>
      <c r="F29" s="112">
        <v>164.1</v>
      </c>
      <c r="G29" s="113">
        <v>10548000</v>
      </c>
      <c r="H29" s="107">
        <f t="shared" si="0"/>
        <v>1.547029702970297E-2</v>
      </c>
      <c r="I29" s="47"/>
    </row>
    <row r="30" spans="1:9">
      <c r="A30" s="109">
        <v>45579</v>
      </c>
      <c r="B30" s="112">
        <v>161.4</v>
      </c>
      <c r="C30" s="112">
        <v>162.13999999999999</v>
      </c>
      <c r="D30" s="112">
        <v>160.9</v>
      </c>
      <c r="E30" s="112">
        <v>161.6</v>
      </c>
      <c r="F30" s="112">
        <v>161.6</v>
      </c>
      <c r="G30" s="113">
        <v>5964000</v>
      </c>
      <c r="H30" s="107">
        <f t="shared" si="0"/>
        <v>8.6708782360947825E-4</v>
      </c>
      <c r="I30" s="47"/>
    </row>
    <row r="31" spans="1:9">
      <c r="A31" s="109">
        <v>45576</v>
      </c>
      <c r="B31" s="112">
        <v>162.18</v>
      </c>
      <c r="C31" s="112">
        <v>162.66</v>
      </c>
      <c r="D31" s="112">
        <v>161.19999999999999</v>
      </c>
      <c r="E31" s="112">
        <v>161.46</v>
      </c>
      <c r="F31" s="112">
        <v>161.46</v>
      </c>
      <c r="G31" s="113">
        <v>5253500</v>
      </c>
      <c r="H31" s="107">
        <f t="shared" si="0"/>
        <v>5.91863435299992E-3</v>
      </c>
      <c r="I31" s="47"/>
    </row>
    <row r="32" spans="1:9">
      <c r="A32" s="109">
        <v>45575</v>
      </c>
      <c r="B32" s="112">
        <v>161.36000000000001</v>
      </c>
      <c r="C32" s="112">
        <v>161.38999999999999</v>
      </c>
      <c r="D32" s="112">
        <v>160</v>
      </c>
      <c r="E32" s="112">
        <v>160.51</v>
      </c>
      <c r="F32" s="112">
        <v>160.51</v>
      </c>
      <c r="G32" s="113">
        <v>4793900</v>
      </c>
      <c r="H32" s="107">
        <f t="shared" si="0"/>
        <v>-8.7145969498919867E-4</v>
      </c>
      <c r="I32" s="47"/>
    </row>
    <row r="33" spans="1:9">
      <c r="A33" s="109">
        <v>45574</v>
      </c>
      <c r="B33" s="112">
        <v>159.91999999999999</v>
      </c>
      <c r="C33" s="112">
        <v>161.22</v>
      </c>
      <c r="D33" s="112">
        <v>159.51</v>
      </c>
      <c r="E33" s="112">
        <v>160.65</v>
      </c>
      <c r="F33" s="112">
        <v>160.65</v>
      </c>
      <c r="G33" s="113">
        <v>6047200</v>
      </c>
      <c r="H33" s="107">
        <f t="shared" si="0"/>
        <v>6.0116475671614248E-3</v>
      </c>
      <c r="I33" s="47"/>
    </row>
    <row r="34" spans="1:9">
      <c r="A34" s="109">
        <v>45573</v>
      </c>
      <c r="B34" s="112">
        <v>159.49</v>
      </c>
      <c r="C34" s="112">
        <v>160.25</v>
      </c>
      <c r="D34" s="112">
        <v>158.94999999999999</v>
      </c>
      <c r="E34" s="112">
        <v>159.69</v>
      </c>
      <c r="F34" s="112">
        <v>159.69</v>
      </c>
      <c r="G34" s="113">
        <v>4766300</v>
      </c>
      <c r="H34" s="107">
        <f t="shared" si="0"/>
        <v>1.0029461543283181E-3</v>
      </c>
      <c r="I34" s="47"/>
    </row>
    <row r="35" spans="1:9">
      <c r="A35" s="109">
        <v>45572</v>
      </c>
      <c r="B35" s="112">
        <v>160.25</v>
      </c>
      <c r="C35" s="112">
        <v>160.86000000000001</v>
      </c>
      <c r="D35" s="112">
        <v>159.22</v>
      </c>
      <c r="E35" s="112">
        <v>159.53</v>
      </c>
      <c r="F35" s="112">
        <v>159.53</v>
      </c>
      <c r="G35" s="113">
        <v>4266000</v>
      </c>
      <c r="H35" s="107">
        <f t="shared" si="0"/>
        <v>-4.7414062012601597E-3</v>
      </c>
      <c r="I35" s="47"/>
    </row>
    <row r="36" spans="1:9">
      <c r="A36" s="109">
        <v>45569</v>
      </c>
      <c r="B36" s="112">
        <v>159.63</v>
      </c>
      <c r="C36" s="112">
        <v>160.5</v>
      </c>
      <c r="D36" s="112">
        <v>158.78</v>
      </c>
      <c r="E36" s="112">
        <v>160.29</v>
      </c>
      <c r="F36" s="112">
        <v>160.29</v>
      </c>
      <c r="G36" s="113">
        <v>5331100</v>
      </c>
      <c r="H36" s="107">
        <f t="shared" si="0"/>
        <v>-1.3084112149533205E-3</v>
      </c>
      <c r="I36" s="47"/>
    </row>
    <row r="37" spans="1:9">
      <c r="A37" s="109">
        <v>45568</v>
      </c>
      <c r="B37" s="112">
        <v>160.78</v>
      </c>
      <c r="C37" s="112">
        <v>161.44</v>
      </c>
      <c r="D37" s="112">
        <v>160.22</v>
      </c>
      <c r="E37" s="112">
        <v>160.5</v>
      </c>
      <c r="F37" s="112">
        <v>160.5</v>
      </c>
      <c r="G37" s="113">
        <v>4791200</v>
      </c>
      <c r="H37" s="107">
        <f t="shared" si="0"/>
        <v>-4.1571011974932525E-3</v>
      </c>
      <c r="I37" s="47"/>
    </row>
    <row r="38" spans="1:9">
      <c r="A38" s="109">
        <v>45567</v>
      </c>
      <c r="B38" s="112">
        <v>161.51</v>
      </c>
      <c r="C38" s="112">
        <v>162.12</v>
      </c>
      <c r="D38" s="112">
        <v>160.65</v>
      </c>
      <c r="E38" s="112">
        <v>161.16999999999999</v>
      </c>
      <c r="F38" s="112">
        <v>161.16999999999999</v>
      </c>
      <c r="G38" s="113">
        <v>4684400</v>
      </c>
      <c r="H38" s="107">
        <f t="shared" si="0"/>
        <v>-5.0620408667203009E-3</v>
      </c>
      <c r="I38" s="47"/>
    </row>
    <row r="39" spans="1:9">
      <c r="A39" s="109">
        <v>45566</v>
      </c>
      <c r="B39" s="112">
        <v>162.43</v>
      </c>
      <c r="C39" s="112">
        <v>162.75</v>
      </c>
      <c r="D39" s="112">
        <v>161.18</v>
      </c>
      <c r="E39" s="112">
        <v>161.99</v>
      </c>
      <c r="F39" s="112">
        <v>161.99</v>
      </c>
      <c r="G39" s="113">
        <v>4408000</v>
      </c>
      <c r="H39" s="107">
        <f t="shared" si="0"/>
        <v>-4.3193878810312956E-4</v>
      </c>
      <c r="I39" s="47"/>
    </row>
    <row r="40" spans="1:9">
      <c r="A40" s="109">
        <v>45565</v>
      </c>
      <c r="B40" s="112">
        <v>161.57</v>
      </c>
      <c r="C40" s="112">
        <v>162.18</v>
      </c>
      <c r="D40" s="112">
        <v>160.68</v>
      </c>
      <c r="E40" s="112">
        <v>162.06</v>
      </c>
      <c r="F40" s="112">
        <v>162.06</v>
      </c>
      <c r="G40" s="113">
        <v>6010000</v>
      </c>
      <c r="H40" s="107">
        <f t="shared" si="0"/>
        <v>4.0892193308549969E-3</v>
      </c>
      <c r="I40" s="47"/>
    </row>
    <row r="41" spans="1:9">
      <c r="A41" s="109">
        <v>45562</v>
      </c>
      <c r="B41" s="112">
        <v>162</v>
      </c>
      <c r="C41" s="112">
        <v>163.43</v>
      </c>
      <c r="D41" s="112">
        <v>161.34</v>
      </c>
      <c r="E41" s="112">
        <v>161.4</v>
      </c>
      <c r="F41" s="112">
        <v>161.4</v>
      </c>
      <c r="G41" s="113">
        <v>7553800</v>
      </c>
      <c r="H41" s="107">
        <f t="shared" si="0"/>
        <v>6.1961707664783E-5</v>
      </c>
      <c r="I41" s="47"/>
    </row>
    <row r="42" spans="1:9">
      <c r="A42" s="109">
        <v>45561</v>
      </c>
      <c r="B42" s="112">
        <v>160.24</v>
      </c>
      <c r="C42" s="112">
        <v>161.54</v>
      </c>
      <c r="D42" s="112">
        <v>160.02000000000001</v>
      </c>
      <c r="E42" s="112">
        <v>161.38999999999999</v>
      </c>
      <c r="F42" s="112">
        <v>161.38999999999999</v>
      </c>
      <c r="G42" s="113">
        <v>6122000</v>
      </c>
      <c r="H42" s="107">
        <f t="shared" si="0"/>
        <v>4.9190535491904861E-3</v>
      </c>
      <c r="I42" s="47"/>
    </row>
    <row r="43" spans="1:9">
      <c r="A43" s="109">
        <v>45560</v>
      </c>
      <c r="B43" s="112">
        <v>163</v>
      </c>
      <c r="C43" s="112">
        <v>163.32</v>
      </c>
      <c r="D43" s="112">
        <v>160.36000000000001</v>
      </c>
      <c r="E43" s="112">
        <v>160.6</v>
      </c>
      <c r="F43" s="112">
        <v>160.6</v>
      </c>
      <c r="G43" s="113">
        <v>5420000</v>
      </c>
      <c r="H43" s="107">
        <f t="shared" si="0"/>
        <v>-1.3392308637424787E-2</v>
      </c>
      <c r="I43" s="47"/>
    </row>
    <row r="44" spans="1:9">
      <c r="A44" s="109">
        <v>45559</v>
      </c>
      <c r="B44" s="112">
        <v>162.79</v>
      </c>
      <c r="C44" s="112">
        <v>163.49</v>
      </c>
      <c r="D44" s="112">
        <v>161.55000000000001</v>
      </c>
      <c r="E44" s="112">
        <v>162.78</v>
      </c>
      <c r="F44" s="112">
        <v>162.78</v>
      </c>
      <c r="G44" s="113">
        <v>6041600</v>
      </c>
      <c r="H44" s="107">
        <f t="shared" si="0"/>
        <v>-2.695748070089436E-3</v>
      </c>
      <c r="I44" s="47"/>
    </row>
    <row r="45" spans="1:9">
      <c r="A45" s="109">
        <v>45558</v>
      </c>
      <c r="B45" s="112">
        <v>164.4</v>
      </c>
      <c r="C45" s="112">
        <v>164.5</v>
      </c>
      <c r="D45" s="112">
        <v>162.72</v>
      </c>
      <c r="E45" s="112">
        <v>163.22</v>
      </c>
      <c r="F45" s="112">
        <v>163.22</v>
      </c>
      <c r="G45" s="113">
        <v>4671600</v>
      </c>
      <c r="H45" s="107">
        <f t="shared" si="0"/>
        <v>-5.7261208576997917E-3</v>
      </c>
      <c r="I45" s="47"/>
    </row>
    <row r="46" spans="1:9">
      <c r="A46" s="109">
        <v>45555</v>
      </c>
      <c r="B46" s="112">
        <v>164.3</v>
      </c>
      <c r="C46" s="112">
        <v>164.87</v>
      </c>
      <c r="D46" s="112">
        <v>163.55000000000001</v>
      </c>
      <c r="E46" s="112">
        <v>164.16</v>
      </c>
      <c r="F46" s="112">
        <v>164.16</v>
      </c>
      <c r="G46" s="113">
        <v>11839000</v>
      </c>
      <c r="H46" s="107">
        <f t="shared" si="0"/>
        <v>-4.0043684018929533E-3</v>
      </c>
      <c r="I46" s="47"/>
    </row>
    <row r="47" spans="1:9">
      <c r="A47" s="109">
        <v>45554</v>
      </c>
      <c r="B47" s="112">
        <v>166.23</v>
      </c>
      <c r="C47" s="112">
        <v>166.37</v>
      </c>
      <c r="D47" s="112">
        <v>164.42</v>
      </c>
      <c r="E47" s="112">
        <v>164.82</v>
      </c>
      <c r="F47" s="112">
        <v>164.82</v>
      </c>
      <c r="G47" s="113">
        <v>4956100</v>
      </c>
      <c r="H47" s="107">
        <f t="shared" si="0"/>
        <v>-8.0048149262715168E-3</v>
      </c>
      <c r="I47" s="47"/>
    </row>
    <row r="48" spans="1:9">
      <c r="A48" s="109">
        <v>45553</v>
      </c>
      <c r="B48" s="112">
        <v>166.63</v>
      </c>
      <c r="C48" s="112">
        <v>168.35</v>
      </c>
      <c r="D48" s="112">
        <v>165.74</v>
      </c>
      <c r="E48" s="112">
        <v>166.15</v>
      </c>
      <c r="F48" s="112">
        <v>166.15</v>
      </c>
      <c r="G48" s="113">
        <v>4722800</v>
      </c>
      <c r="H48" s="107">
        <f t="shared" si="0"/>
        <v>-5.5066738492846566E-3</v>
      </c>
      <c r="I48" s="47"/>
    </row>
    <row r="49" spans="1:9">
      <c r="A49" s="109">
        <v>45552</v>
      </c>
      <c r="B49" s="112">
        <v>166.24</v>
      </c>
      <c r="C49" s="112">
        <v>167.72</v>
      </c>
      <c r="D49" s="112">
        <v>165.93</v>
      </c>
      <c r="E49" s="112">
        <v>167.07</v>
      </c>
      <c r="F49" s="112">
        <v>167.07</v>
      </c>
      <c r="G49" s="113">
        <v>5066500</v>
      </c>
      <c r="H49" s="107">
        <f t="shared" si="0"/>
        <v>4.790706030300262E-4</v>
      </c>
      <c r="I49" s="47"/>
    </row>
    <row r="50" spans="1:9">
      <c r="A50" s="109">
        <v>45551</v>
      </c>
      <c r="B50" s="112">
        <v>166.36</v>
      </c>
      <c r="C50" s="112">
        <v>167.25</v>
      </c>
      <c r="D50" s="112">
        <v>165.78</v>
      </c>
      <c r="E50" s="112">
        <v>166.99</v>
      </c>
      <c r="F50" s="112">
        <v>166.99</v>
      </c>
      <c r="G50" s="113">
        <v>5187800</v>
      </c>
      <c r="H50" s="107">
        <f t="shared" si="0"/>
        <v>8.8811019816336326E-3</v>
      </c>
      <c r="I50" s="47"/>
    </row>
    <row r="51" spans="1:9">
      <c r="A51" s="109">
        <v>45548</v>
      </c>
      <c r="B51" s="112">
        <v>164.74</v>
      </c>
      <c r="C51" s="112">
        <v>165.75</v>
      </c>
      <c r="D51" s="112">
        <v>163.82</v>
      </c>
      <c r="E51" s="112">
        <v>165.52</v>
      </c>
      <c r="F51" s="112">
        <v>165.52</v>
      </c>
      <c r="G51" s="113">
        <v>3693400</v>
      </c>
      <c r="H51" s="107">
        <f t="shared" si="0"/>
        <v>5.344995140913654E-3</v>
      </c>
      <c r="I51" s="47"/>
    </row>
    <row r="52" spans="1:9">
      <c r="A52" s="109">
        <v>45547</v>
      </c>
      <c r="B52" s="112">
        <v>164.2</v>
      </c>
      <c r="C52" s="112">
        <v>165.1</v>
      </c>
      <c r="D52" s="112">
        <v>162.71</v>
      </c>
      <c r="E52" s="112">
        <v>164.64</v>
      </c>
      <c r="F52" s="112">
        <v>164.64</v>
      </c>
      <c r="G52" s="113">
        <v>4540900</v>
      </c>
      <c r="H52" s="107">
        <f t="shared" si="0"/>
        <v>-1.0921004732435799E-3</v>
      </c>
      <c r="I52" s="47"/>
    </row>
    <row r="53" spans="1:9">
      <c r="A53" s="109">
        <v>45546</v>
      </c>
      <c r="B53" s="112">
        <v>166.79</v>
      </c>
      <c r="C53" s="112">
        <v>166.79</v>
      </c>
      <c r="D53" s="112">
        <v>164.09</v>
      </c>
      <c r="E53" s="112">
        <v>164.82</v>
      </c>
      <c r="F53" s="112">
        <v>164.82</v>
      </c>
      <c r="G53" s="113">
        <v>5920200</v>
      </c>
      <c r="H53" s="107">
        <f t="shared" si="0"/>
        <v>-1.5294539371490036E-2</v>
      </c>
      <c r="I53" s="47"/>
    </row>
    <row r="54" spans="1:9">
      <c r="A54" s="109">
        <v>45545</v>
      </c>
      <c r="B54" s="112">
        <v>167.5</v>
      </c>
      <c r="C54" s="112">
        <v>168.46</v>
      </c>
      <c r="D54" s="112">
        <v>166.75</v>
      </c>
      <c r="E54" s="112">
        <v>167.38</v>
      </c>
      <c r="F54" s="112">
        <v>167.38</v>
      </c>
      <c r="G54" s="113">
        <v>6559600</v>
      </c>
      <c r="H54" s="107">
        <f t="shared" si="0"/>
        <v>4.6215713342535368E-3</v>
      </c>
      <c r="I54" s="47"/>
    </row>
    <row r="55" spans="1:9">
      <c r="A55" s="109">
        <v>45544</v>
      </c>
      <c r="B55" s="112">
        <v>164.84</v>
      </c>
      <c r="C55" s="112">
        <v>167.41</v>
      </c>
      <c r="D55" s="112">
        <v>164.47</v>
      </c>
      <c r="E55" s="112">
        <v>166.61</v>
      </c>
      <c r="F55" s="112">
        <v>166.61</v>
      </c>
      <c r="G55" s="113">
        <v>7538200</v>
      </c>
      <c r="H55" s="107">
        <f t="shared" si="0"/>
        <v>1.3566127266090876E-2</v>
      </c>
      <c r="I55" s="47"/>
    </row>
    <row r="56" spans="1:9">
      <c r="A56" s="109">
        <v>45541</v>
      </c>
      <c r="B56" s="112">
        <v>165.18</v>
      </c>
      <c r="C56" s="112">
        <v>165.94</v>
      </c>
      <c r="D56" s="112">
        <v>164.12</v>
      </c>
      <c r="E56" s="112">
        <v>164.38</v>
      </c>
      <c r="F56" s="112">
        <v>164.38</v>
      </c>
      <c r="G56" s="113">
        <v>6016900</v>
      </c>
      <c r="H56" s="107">
        <f t="shared" si="0"/>
        <v>-3.6971937693194351E-3</v>
      </c>
      <c r="I56" s="47"/>
    </row>
    <row r="57" spans="1:9">
      <c r="A57" s="109">
        <v>45540</v>
      </c>
      <c r="B57" s="112">
        <v>167.2</v>
      </c>
      <c r="C57" s="112">
        <v>167.37</v>
      </c>
      <c r="D57" s="112">
        <v>164.83</v>
      </c>
      <c r="E57" s="112">
        <v>164.99</v>
      </c>
      <c r="F57" s="112">
        <v>164.99</v>
      </c>
      <c r="G57" s="113">
        <v>4600400</v>
      </c>
      <c r="H57" s="107">
        <f t="shared" si="0"/>
        <v>-1.4161089866156815E-2</v>
      </c>
      <c r="I57" s="47"/>
    </row>
    <row r="58" spans="1:9">
      <c r="A58" s="109">
        <v>45539</v>
      </c>
      <c r="B58" s="112">
        <v>167.81</v>
      </c>
      <c r="C58" s="112">
        <v>168.85</v>
      </c>
      <c r="D58" s="112">
        <v>166.04</v>
      </c>
      <c r="E58" s="112">
        <v>167.36</v>
      </c>
      <c r="F58" s="112">
        <v>167.36</v>
      </c>
      <c r="G58" s="113">
        <v>6939100</v>
      </c>
      <c r="H58" s="107">
        <f t="shared" si="0"/>
        <v>1.1964584828907457E-3</v>
      </c>
      <c r="I58" s="47"/>
    </row>
    <row r="59" spans="1:9">
      <c r="A59" s="109">
        <v>45538</v>
      </c>
      <c r="B59" s="112">
        <v>165.24</v>
      </c>
      <c r="C59" s="112">
        <v>167.81</v>
      </c>
      <c r="D59" s="112">
        <v>164.77</v>
      </c>
      <c r="E59" s="112">
        <v>167.16</v>
      </c>
      <c r="F59" s="112">
        <v>167.16</v>
      </c>
      <c r="G59" s="113">
        <v>6956500</v>
      </c>
      <c r="H59" s="107">
        <f t="shared" si="0"/>
        <v>7.8379356083442837E-3</v>
      </c>
      <c r="I59" s="47"/>
    </row>
    <row r="60" spans="1:9">
      <c r="A60" s="109">
        <v>45534</v>
      </c>
      <c r="B60" s="112">
        <v>164.12</v>
      </c>
      <c r="C60" s="112">
        <v>165.98</v>
      </c>
      <c r="D60" s="112">
        <v>163.81</v>
      </c>
      <c r="E60" s="112">
        <v>165.86</v>
      </c>
      <c r="F60" s="112">
        <v>165.86</v>
      </c>
      <c r="G60" s="113">
        <v>7971000</v>
      </c>
      <c r="H60" s="107">
        <f t="shared" si="0"/>
        <v>9.9251050356209212E-3</v>
      </c>
      <c r="I60" s="47"/>
    </row>
    <row r="61" spans="1:9">
      <c r="A61" s="109">
        <v>45533</v>
      </c>
      <c r="B61" s="112">
        <v>164.63</v>
      </c>
      <c r="C61" s="112">
        <v>164.72</v>
      </c>
      <c r="D61" s="112">
        <v>163.36000000000001</v>
      </c>
      <c r="E61" s="112">
        <v>164.23</v>
      </c>
      <c r="F61" s="112">
        <v>164.23</v>
      </c>
      <c r="G61" s="113">
        <v>7390100</v>
      </c>
      <c r="H61" s="107">
        <f t="shared" si="0"/>
        <v>1.8911664226452067E-3</v>
      </c>
      <c r="I61" s="47"/>
    </row>
    <row r="62" spans="1:9">
      <c r="A62" s="109">
        <v>45532</v>
      </c>
      <c r="B62" s="112">
        <v>163</v>
      </c>
      <c r="C62" s="112">
        <v>165</v>
      </c>
      <c r="D62" s="112">
        <v>162.71</v>
      </c>
      <c r="E62" s="112">
        <v>163.92</v>
      </c>
      <c r="F62" s="112">
        <v>163.92</v>
      </c>
      <c r="G62" s="113">
        <v>5187000</v>
      </c>
      <c r="H62" s="107">
        <f t="shared" si="0"/>
        <v>5.9527462411782693E-3</v>
      </c>
      <c r="I62" s="47"/>
    </row>
    <row r="63" spans="1:9">
      <c r="A63" s="109">
        <v>45531</v>
      </c>
      <c r="B63" s="112">
        <v>163.5</v>
      </c>
      <c r="C63" s="112">
        <v>164.04</v>
      </c>
      <c r="D63" s="112">
        <v>162.16</v>
      </c>
      <c r="E63" s="112">
        <v>162.94999999999999</v>
      </c>
      <c r="F63" s="112">
        <v>162.94999999999999</v>
      </c>
      <c r="G63" s="113">
        <v>4388700</v>
      </c>
      <c r="H63" s="107">
        <f t="shared" si="0"/>
        <v>-2.5708514415132269E-3</v>
      </c>
      <c r="I63" s="47"/>
    </row>
    <row r="64" spans="1:9">
      <c r="A64" s="109">
        <v>45530</v>
      </c>
      <c r="B64" s="112">
        <v>164.17</v>
      </c>
      <c r="C64" s="112">
        <v>165.71</v>
      </c>
      <c r="D64" s="112">
        <v>163.54</v>
      </c>
      <c r="E64" s="112">
        <v>164.61</v>
      </c>
      <c r="F64" s="112">
        <v>163.37</v>
      </c>
      <c r="G64" s="113">
        <v>6870600</v>
      </c>
      <c r="H64" s="107">
        <f t="shared" si="0"/>
        <v>2.9467738964946786E-3</v>
      </c>
      <c r="I64" s="47"/>
    </row>
    <row r="65" spans="1:9">
      <c r="A65" s="109">
        <v>45527</v>
      </c>
      <c r="B65" s="112">
        <v>162.5</v>
      </c>
      <c r="C65" s="112">
        <v>164.22</v>
      </c>
      <c r="D65" s="112">
        <v>161.69999999999999</v>
      </c>
      <c r="E65" s="112">
        <v>164.13</v>
      </c>
      <c r="F65" s="112">
        <v>162.88999999999999</v>
      </c>
      <c r="G65" s="113">
        <v>7093400</v>
      </c>
      <c r="H65" s="107">
        <f t="shared" si="0"/>
        <v>1.0922857320176199E-2</v>
      </c>
      <c r="I65" s="47"/>
    </row>
    <row r="66" spans="1:9">
      <c r="A66" s="109">
        <v>45526</v>
      </c>
      <c r="B66" s="112">
        <v>162</v>
      </c>
      <c r="C66" s="112">
        <v>162.49</v>
      </c>
      <c r="D66" s="112">
        <v>160.79</v>
      </c>
      <c r="E66" s="112">
        <v>162.35</v>
      </c>
      <c r="F66" s="112">
        <v>161.13</v>
      </c>
      <c r="G66" s="113">
        <v>6552100</v>
      </c>
      <c r="H66" s="107">
        <f t="shared" si="0"/>
        <v>5.7424630172897284E-3</v>
      </c>
      <c r="I66" s="47"/>
    </row>
    <row r="67" spans="1:9">
      <c r="A67" s="109">
        <v>45525</v>
      </c>
      <c r="B67" s="112">
        <v>160.4</v>
      </c>
      <c r="C67" s="112">
        <v>161.47999999999999</v>
      </c>
      <c r="D67" s="112">
        <v>160.31</v>
      </c>
      <c r="E67" s="112">
        <v>161.43</v>
      </c>
      <c r="F67" s="112">
        <v>160.21</v>
      </c>
      <c r="G67" s="113">
        <v>5019400</v>
      </c>
      <c r="H67" s="107">
        <f t="shared" ref="H67:H130" si="1">(F67-F68)/F68</f>
        <v>7.9270210758101249E-3</v>
      </c>
      <c r="I67" s="47"/>
    </row>
    <row r="68" spans="1:9">
      <c r="A68" s="109">
        <v>45524</v>
      </c>
      <c r="B68" s="112">
        <v>160</v>
      </c>
      <c r="C68" s="112">
        <v>160.93</v>
      </c>
      <c r="D68" s="112">
        <v>159.66999999999999</v>
      </c>
      <c r="E68" s="112">
        <v>160.16</v>
      </c>
      <c r="F68" s="112">
        <v>158.94999999999999</v>
      </c>
      <c r="G68" s="113">
        <v>7275100</v>
      </c>
      <c r="H68" s="107">
        <f t="shared" si="1"/>
        <v>3.2822066527802927E-3</v>
      </c>
      <c r="I68" s="47"/>
    </row>
    <row r="69" spans="1:9">
      <c r="A69" s="109">
        <v>45523</v>
      </c>
      <c r="B69" s="112">
        <v>159.46</v>
      </c>
      <c r="C69" s="112">
        <v>160.29</v>
      </c>
      <c r="D69" s="112">
        <v>159.13</v>
      </c>
      <c r="E69" s="112">
        <v>159.63</v>
      </c>
      <c r="F69" s="112">
        <v>158.43</v>
      </c>
      <c r="G69" s="113">
        <v>4408400</v>
      </c>
      <c r="H69" s="107">
        <f t="shared" si="1"/>
        <v>1.5171629053670212E-3</v>
      </c>
      <c r="I69" s="47"/>
    </row>
    <row r="70" spans="1:9">
      <c r="A70" s="109">
        <v>45520</v>
      </c>
      <c r="B70" s="112">
        <v>159.13999999999999</v>
      </c>
      <c r="C70" s="112">
        <v>159.94</v>
      </c>
      <c r="D70" s="112">
        <v>158.18</v>
      </c>
      <c r="E70" s="112">
        <v>159.38999999999999</v>
      </c>
      <c r="F70" s="112">
        <v>158.19</v>
      </c>
      <c r="G70" s="113">
        <v>5012800</v>
      </c>
      <c r="H70" s="107">
        <f t="shared" si="1"/>
        <v>1.9000570017101235E-3</v>
      </c>
      <c r="I70" s="47"/>
    </row>
    <row r="71" spans="1:9">
      <c r="A71" s="109">
        <v>45519</v>
      </c>
      <c r="B71" s="112">
        <v>158.37</v>
      </c>
      <c r="C71" s="112">
        <v>159.5</v>
      </c>
      <c r="D71" s="112">
        <v>157.84</v>
      </c>
      <c r="E71" s="112">
        <v>159.09</v>
      </c>
      <c r="F71" s="112">
        <v>157.88999999999999</v>
      </c>
      <c r="G71" s="113">
        <v>7237800</v>
      </c>
      <c r="H71" s="107">
        <f t="shared" si="1"/>
        <v>3.8146099561319497E-3</v>
      </c>
      <c r="I71" s="47"/>
    </row>
    <row r="72" spans="1:9">
      <c r="A72" s="109">
        <v>45518</v>
      </c>
      <c r="B72" s="112">
        <v>157.83000000000001</v>
      </c>
      <c r="C72" s="112">
        <v>159.55000000000001</v>
      </c>
      <c r="D72" s="112">
        <v>157.4</v>
      </c>
      <c r="E72" s="112">
        <v>158.47999999999999</v>
      </c>
      <c r="F72" s="112">
        <v>157.29</v>
      </c>
      <c r="G72" s="113">
        <v>5141200</v>
      </c>
      <c r="H72" s="107">
        <f t="shared" si="1"/>
        <v>5.7251908396948735E-4</v>
      </c>
      <c r="I72" s="47"/>
    </row>
    <row r="73" spans="1:9">
      <c r="A73" s="109">
        <v>45517</v>
      </c>
      <c r="B73" s="112">
        <v>160.27000000000001</v>
      </c>
      <c r="C73" s="112">
        <v>160.37</v>
      </c>
      <c r="D73" s="112">
        <v>156.44</v>
      </c>
      <c r="E73" s="112">
        <v>158.38999999999999</v>
      </c>
      <c r="F73" s="112">
        <v>157.19999999999999</v>
      </c>
      <c r="G73" s="113">
        <v>9711400</v>
      </c>
      <c r="H73" s="107">
        <f t="shared" si="1"/>
        <v>-9.3269473153517659E-3</v>
      </c>
      <c r="I73" s="47"/>
    </row>
    <row r="74" spans="1:9">
      <c r="A74" s="109">
        <v>45516</v>
      </c>
      <c r="B74" s="112">
        <v>160.97</v>
      </c>
      <c r="C74" s="112">
        <v>161.69999999999999</v>
      </c>
      <c r="D74" s="112">
        <v>158.71</v>
      </c>
      <c r="E74" s="112">
        <v>159.88</v>
      </c>
      <c r="F74" s="112">
        <v>158.68</v>
      </c>
      <c r="G74" s="113">
        <v>7605400</v>
      </c>
      <c r="H74" s="107">
        <f t="shared" si="1"/>
        <v>-4.5793864876732312E-3</v>
      </c>
      <c r="I74" s="47"/>
    </row>
    <row r="75" spans="1:9">
      <c r="A75" s="109">
        <v>45513</v>
      </c>
      <c r="B75" s="112">
        <v>160.12</v>
      </c>
      <c r="C75" s="112">
        <v>160.93</v>
      </c>
      <c r="D75" s="112">
        <v>159.34</v>
      </c>
      <c r="E75" s="112">
        <v>160.62</v>
      </c>
      <c r="F75" s="112">
        <v>159.41</v>
      </c>
      <c r="G75" s="113">
        <v>4579200</v>
      </c>
      <c r="H75" s="107">
        <f t="shared" si="1"/>
        <v>2.5155650588013691E-3</v>
      </c>
      <c r="I75" s="47"/>
    </row>
    <row r="76" spans="1:9">
      <c r="A76" s="109">
        <v>45512</v>
      </c>
      <c r="B76" s="112">
        <v>158.57</v>
      </c>
      <c r="C76" s="112">
        <v>160.69999999999999</v>
      </c>
      <c r="D76" s="112">
        <v>158.03</v>
      </c>
      <c r="E76" s="112">
        <v>160.22</v>
      </c>
      <c r="F76" s="112">
        <v>159.01</v>
      </c>
      <c r="G76" s="113">
        <v>5094800</v>
      </c>
      <c r="H76" s="107">
        <f t="shared" si="1"/>
        <v>8.306911857958163E-3</v>
      </c>
      <c r="I76" s="47"/>
    </row>
    <row r="77" spans="1:9">
      <c r="A77" s="109">
        <v>45511</v>
      </c>
      <c r="B77" s="112">
        <v>158.87</v>
      </c>
      <c r="C77" s="112">
        <v>160.62</v>
      </c>
      <c r="D77" s="112">
        <v>158.19</v>
      </c>
      <c r="E77" s="112">
        <v>158.9</v>
      </c>
      <c r="F77" s="112">
        <v>157.69999999999999</v>
      </c>
      <c r="G77" s="113">
        <v>5993000</v>
      </c>
      <c r="H77" s="107">
        <f t="shared" si="1"/>
        <v>-4.4368384356989032E-4</v>
      </c>
      <c r="I77" s="47"/>
    </row>
    <row r="78" spans="1:9">
      <c r="A78" s="109">
        <v>45510</v>
      </c>
      <c r="B78" s="112">
        <v>161.05000000000001</v>
      </c>
      <c r="C78" s="112">
        <v>161.47999999999999</v>
      </c>
      <c r="D78" s="112">
        <v>158.94</v>
      </c>
      <c r="E78" s="112">
        <v>158.97</v>
      </c>
      <c r="F78" s="112">
        <v>157.77000000000001</v>
      </c>
      <c r="G78" s="113">
        <v>7607100</v>
      </c>
      <c r="H78" s="107">
        <f t="shared" si="1"/>
        <v>-1.4183954011497012E-2</v>
      </c>
      <c r="I78" s="47"/>
    </row>
    <row r="79" spans="1:9">
      <c r="A79" s="109">
        <v>45509</v>
      </c>
      <c r="B79" s="112">
        <v>163.79</v>
      </c>
      <c r="C79" s="112">
        <v>165.78</v>
      </c>
      <c r="D79" s="112">
        <v>160.58000000000001</v>
      </c>
      <c r="E79" s="112">
        <v>161.25</v>
      </c>
      <c r="F79" s="112">
        <v>160.04</v>
      </c>
      <c r="G79" s="113">
        <v>12032200</v>
      </c>
      <c r="H79" s="107">
        <f t="shared" si="1"/>
        <v>-1.7556783302639739E-2</v>
      </c>
      <c r="I79" s="47"/>
    </row>
    <row r="80" spans="1:9">
      <c r="A80" s="109">
        <v>45506</v>
      </c>
      <c r="B80" s="112">
        <v>161.9</v>
      </c>
      <c r="C80" s="112">
        <v>164.85</v>
      </c>
      <c r="D80" s="112">
        <v>161</v>
      </c>
      <c r="E80" s="112">
        <v>164.14</v>
      </c>
      <c r="F80" s="112">
        <v>162.9</v>
      </c>
      <c r="G80" s="113">
        <v>11280400</v>
      </c>
      <c r="H80" s="107">
        <f t="shared" si="1"/>
        <v>2.0996552804763358E-2</v>
      </c>
      <c r="I80" s="47"/>
    </row>
    <row r="81" spans="1:9">
      <c r="A81" s="109">
        <v>45505</v>
      </c>
      <c r="B81" s="112">
        <v>158.47999999999999</v>
      </c>
      <c r="C81" s="112">
        <v>160.81</v>
      </c>
      <c r="D81" s="112">
        <v>157.71</v>
      </c>
      <c r="E81" s="112">
        <v>160.76</v>
      </c>
      <c r="F81" s="112">
        <v>159.55000000000001</v>
      </c>
      <c r="G81" s="113">
        <v>7213400</v>
      </c>
      <c r="H81" s="107">
        <f t="shared" si="1"/>
        <v>1.8447593514617739E-2</v>
      </c>
      <c r="I81" s="47"/>
    </row>
    <row r="82" spans="1:9">
      <c r="A82" s="109">
        <v>45504</v>
      </c>
      <c r="B82" s="112">
        <v>159.85</v>
      </c>
      <c r="C82" s="112">
        <v>160.35</v>
      </c>
      <c r="D82" s="112">
        <v>157.74</v>
      </c>
      <c r="E82" s="112">
        <v>157.85</v>
      </c>
      <c r="F82" s="112">
        <v>156.66</v>
      </c>
      <c r="G82" s="113">
        <v>8293200</v>
      </c>
      <c r="H82" s="107">
        <f t="shared" si="1"/>
        <v>-2.1547685965898549E-2</v>
      </c>
      <c r="I82" s="47"/>
    </row>
    <row r="83" spans="1:9">
      <c r="A83" s="109">
        <v>45503</v>
      </c>
      <c r="B83" s="112">
        <v>158.54</v>
      </c>
      <c r="C83" s="112">
        <v>161.55000000000001</v>
      </c>
      <c r="D83" s="112">
        <v>158.36000000000001</v>
      </c>
      <c r="E83" s="112">
        <v>161.33000000000001</v>
      </c>
      <c r="F83" s="112">
        <v>160.11000000000001</v>
      </c>
      <c r="G83" s="113">
        <v>6545700</v>
      </c>
      <c r="H83" s="107">
        <f t="shared" si="1"/>
        <v>1.7411196543178555E-2</v>
      </c>
      <c r="I83" s="47"/>
    </row>
    <row r="84" spans="1:9">
      <c r="A84" s="109">
        <v>45502</v>
      </c>
      <c r="B84" s="112">
        <v>159.97</v>
      </c>
      <c r="C84" s="112">
        <v>160</v>
      </c>
      <c r="D84" s="112">
        <v>158.05000000000001</v>
      </c>
      <c r="E84" s="112">
        <v>158.56</v>
      </c>
      <c r="F84" s="112">
        <v>157.37</v>
      </c>
      <c r="G84" s="113">
        <v>5625000</v>
      </c>
      <c r="H84" s="107">
        <f t="shared" si="1"/>
        <v>-1.2921031173555806E-2</v>
      </c>
      <c r="I84" s="47"/>
    </row>
    <row r="85" spans="1:9">
      <c r="A85" s="109">
        <v>45499</v>
      </c>
      <c r="B85" s="112">
        <v>159.75</v>
      </c>
      <c r="C85" s="112">
        <v>161.58000000000001</v>
      </c>
      <c r="D85" s="112">
        <v>159.47</v>
      </c>
      <c r="E85" s="112">
        <v>160.63999999999999</v>
      </c>
      <c r="F85" s="112">
        <v>159.43</v>
      </c>
      <c r="G85" s="113">
        <v>8356900</v>
      </c>
      <c r="H85" s="107">
        <f t="shared" si="1"/>
        <v>6.2484221156274243E-3</v>
      </c>
      <c r="I85" s="47"/>
    </row>
    <row r="86" spans="1:9">
      <c r="A86" s="109">
        <v>45498</v>
      </c>
      <c r="B86" s="112">
        <v>156.47999999999999</v>
      </c>
      <c r="C86" s="112">
        <v>160.58000000000001</v>
      </c>
      <c r="D86" s="112">
        <v>156</v>
      </c>
      <c r="E86" s="112">
        <v>159.63999999999999</v>
      </c>
      <c r="F86" s="112">
        <v>158.44</v>
      </c>
      <c r="G86" s="113">
        <v>10019600</v>
      </c>
      <c r="H86" s="107">
        <f t="shared" si="1"/>
        <v>2.153449387491943E-2</v>
      </c>
      <c r="I86" s="47"/>
    </row>
    <row r="87" spans="1:9">
      <c r="A87" s="109">
        <v>45497</v>
      </c>
      <c r="B87" s="112">
        <v>152.76</v>
      </c>
      <c r="C87" s="112">
        <v>156.41</v>
      </c>
      <c r="D87" s="112">
        <v>152.33000000000001</v>
      </c>
      <c r="E87" s="112">
        <v>156.28</v>
      </c>
      <c r="F87" s="112">
        <v>155.1</v>
      </c>
      <c r="G87" s="113">
        <v>7168200</v>
      </c>
      <c r="H87" s="107">
        <f t="shared" si="1"/>
        <v>2.5793650793650834E-2</v>
      </c>
      <c r="I87" s="47"/>
    </row>
    <row r="88" spans="1:9">
      <c r="A88" s="109">
        <v>45496</v>
      </c>
      <c r="B88" s="112">
        <v>153.31</v>
      </c>
      <c r="C88" s="112">
        <v>153.5</v>
      </c>
      <c r="D88" s="112">
        <v>151.57</v>
      </c>
      <c r="E88" s="112">
        <v>152.35</v>
      </c>
      <c r="F88" s="112">
        <v>151.19999999999999</v>
      </c>
      <c r="G88" s="113">
        <v>6261900</v>
      </c>
      <c r="H88" s="107">
        <f t="shared" si="1"/>
        <v>-1.2281160177685026E-2</v>
      </c>
      <c r="I88" s="47"/>
    </row>
    <row r="89" spans="1:9">
      <c r="A89" s="109">
        <v>45495</v>
      </c>
      <c r="B89" s="112">
        <v>154.77000000000001</v>
      </c>
      <c r="C89" s="112">
        <v>155.11000000000001</v>
      </c>
      <c r="D89" s="112">
        <v>153.59</v>
      </c>
      <c r="E89" s="112">
        <v>154.24</v>
      </c>
      <c r="F89" s="112">
        <v>153.08000000000001</v>
      </c>
      <c r="G89" s="113">
        <v>6840600</v>
      </c>
      <c r="H89" s="107">
        <f t="shared" si="1"/>
        <v>-2.8660760812923248E-3</v>
      </c>
      <c r="I89" s="47"/>
    </row>
    <row r="90" spans="1:9">
      <c r="A90" s="109">
        <v>45492</v>
      </c>
      <c r="B90" s="112">
        <v>156.51</v>
      </c>
      <c r="C90" s="112">
        <v>156.51</v>
      </c>
      <c r="D90" s="112">
        <v>154.12</v>
      </c>
      <c r="E90" s="112">
        <v>154.69</v>
      </c>
      <c r="F90" s="112">
        <v>153.52000000000001</v>
      </c>
      <c r="G90" s="113">
        <v>7398000</v>
      </c>
      <c r="H90" s="107">
        <f t="shared" si="1"/>
        <v>-4.7325769854132237E-3</v>
      </c>
      <c r="I90" s="47"/>
    </row>
    <row r="91" spans="1:9">
      <c r="A91" s="109">
        <v>45491</v>
      </c>
      <c r="B91" s="112">
        <v>155.6</v>
      </c>
      <c r="C91" s="112">
        <v>157.07</v>
      </c>
      <c r="D91" s="112">
        <v>154.62</v>
      </c>
      <c r="E91" s="112">
        <v>155.41999999999999</v>
      </c>
      <c r="F91" s="112">
        <v>154.25</v>
      </c>
      <c r="G91" s="113">
        <v>10166200</v>
      </c>
      <c r="H91" s="107">
        <f t="shared" si="1"/>
        <v>-7.4002574002574369E-3</v>
      </c>
      <c r="I91" s="47"/>
    </row>
    <row r="92" spans="1:9">
      <c r="A92" s="109">
        <v>45490</v>
      </c>
      <c r="B92" s="112">
        <v>151.55000000000001</v>
      </c>
      <c r="C92" s="112">
        <v>157.49</v>
      </c>
      <c r="D92" s="112">
        <v>151.41999999999999</v>
      </c>
      <c r="E92" s="112">
        <v>156.58000000000001</v>
      </c>
      <c r="F92" s="112">
        <v>155.4</v>
      </c>
      <c r="G92" s="113">
        <v>13801400</v>
      </c>
      <c r="H92" s="107">
        <f t="shared" si="1"/>
        <v>3.6898645492760396E-2</v>
      </c>
      <c r="I92" s="47"/>
    </row>
    <row r="93" spans="1:9">
      <c r="A93" s="109">
        <v>45489</v>
      </c>
      <c r="B93" s="112">
        <v>149.69</v>
      </c>
      <c r="C93" s="112">
        <v>151.08000000000001</v>
      </c>
      <c r="D93" s="112">
        <v>149.16</v>
      </c>
      <c r="E93" s="112">
        <v>151.01</v>
      </c>
      <c r="F93" s="112">
        <v>149.87</v>
      </c>
      <c r="G93" s="113">
        <v>6469600</v>
      </c>
      <c r="H93" s="107">
        <f t="shared" si="1"/>
        <v>1.1814744801512287E-2</v>
      </c>
      <c r="I93" s="47"/>
    </row>
    <row r="94" spans="1:9">
      <c r="A94" s="109">
        <v>45488</v>
      </c>
      <c r="B94" s="112">
        <v>150.08000000000001</v>
      </c>
      <c r="C94" s="112">
        <v>150.25</v>
      </c>
      <c r="D94" s="112">
        <v>148.87</v>
      </c>
      <c r="E94" s="112">
        <v>149.24</v>
      </c>
      <c r="F94" s="112">
        <v>148.12</v>
      </c>
      <c r="G94" s="113">
        <v>6711400</v>
      </c>
      <c r="H94" s="107">
        <f t="shared" si="1"/>
        <v>-4.2352941176470281E-3</v>
      </c>
      <c r="I94" s="47"/>
    </row>
    <row r="95" spans="1:9">
      <c r="A95" s="109">
        <v>45485</v>
      </c>
      <c r="B95" s="112">
        <v>150</v>
      </c>
      <c r="C95" s="112">
        <v>150.88</v>
      </c>
      <c r="D95" s="112">
        <v>149.24</v>
      </c>
      <c r="E95" s="112">
        <v>149.88</v>
      </c>
      <c r="F95" s="112">
        <v>148.75</v>
      </c>
      <c r="G95" s="113">
        <v>5336400</v>
      </c>
      <c r="H95" s="107">
        <f t="shared" si="1"/>
        <v>1.2115501110588061E-3</v>
      </c>
      <c r="I95" s="47"/>
    </row>
    <row r="96" spans="1:9">
      <c r="A96" s="109">
        <v>45484</v>
      </c>
      <c r="B96" s="112">
        <v>149.58000000000001</v>
      </c>
      <c r="C96" s="112">
        <v>150.58000000000001</v>
      </c>
      <c r="D96" s="112">
        <v>148.63999999999999</v>
      </c>
      <c r="E96" s="112">
        <v>149.69999999999999</v>
      </c>
      <c r="F96" s="112">
        <v>148.57</v>
      </c>
      <c r="G96" s="113">
        <v>6350400</v>
      </c>
      <c r="H96" s="107">
        <f t="shared" si="1"/>
        <v>1.8206338503033161E-3</v>
      </c>
      <c r="I96" s="47"/>
    </row>
    <row r="97" spans="1:9">
      <c r="A97" s="109">
        <v>45483</v>
      </c>
      <c r="B97" s="112">
        <v>147.26</v>
      </c>
      <c r="C97" s="112">
        <v>149.47</v>
      </c>
      <c r="D97" s="112">
        <v>146.68</v>
      </c>
      <c r="E97" s="112">
        <v>149.43</v>
      </c>
      <c r="F97" s="112">
        <v>148.30000000000001</v>
      </c>
      <c r="G97" s="113">
        <v>6093200</v>
      </c>
      <c r="H97" s="107">
        <f t="shared" si="1"/>
        <v>1.6171029190078207E-2</v>
      </c>
      <c r="I97" s="47"/>
    </row>
    <row r="98" spans="1:9">
      <c r="A98" s="109">
        <v>45482</v>
      </c>
      <c r="B98" s="112">
        <v>145.66999999999999</v>
      </c>
      <c r="C98" s="112">
        <v>147.13</v>
      </c>
      <c r="D98" s="112">
        <v>145.18</v>
      </c>
      <c r="E98" s="112">
        <v>147.05000000000001</v>
      </c>
      <c r="F98" s="112">
        <v>145.94</v>
      </c>
      <c r="G98" s="113">
        <v>5890400</v>
      </c>
      <c r="H98" s="107">
        <f t="shared" si="1"/>
        <v>1.0804820612273185E-2</v>
      </c>
      <c r="I98" s="47"/>
    </row>
    <row r="99" spans="1:9">
      <c r="A99" s="109">
        <v>45481</v>
      </c>
      <c r="B99" s="112">
        <v>146.4</v>
      </c>
      <c r="C99" s="112">
        <v>147.22</v>
      </c>
      <c r="D99" s="112">
        <v>145.25</v>
      </c>
      <c r="E99" s="112">
        <v>145.47999999999999</v>
      </c>
      <c r="F99" s="112">
        <v>144.38</v>
      </c>
      <c r="G99" s="113">
        <v>5260200</v>
      </c>
      <c r="H99" s="107">
        <f t="shared" si="1"/>
        <v>-6.8785252441876466E-3</v>
      </c>
      <c r="I99" s="47"/>
    </row>
    <row r="100" spans="1:9">
      <c r="A100" s="109">
        <v>45478</v>
      </c>
      <c r="B100" s="112">
        <v>145.77000000000001</v>
      </c>
      <c r="C100" s="112">
        <v>146.55000000000001</v>
      </c>
      <c r="D100" s="112">
        <v>144.5</v>
      </c>
      <c r="E100" s="112">
        <v>146.47999999999999</v>
      </c>
      <c r="F100" s="112">
        <v>145.38</v>
      </c>
      <c r="G100" s="113">
        <v>4888500</v>
      </c>
      <c r="H100" s="107">
        <f t="shared" si="1"/>
        <v>5.4637250155611869E-3</v>
      </c>
      <c r="I100" s="47"/>
    </row>
    <row r="101" spans="1:9">
      <c r="A101" s="109">
        <v>45476</v>
      </c>
      <c r="B101" s="112">
        <v>146.19999999999999</v>
      </c>
      <c r="C101" s="112">
        <v>146.65</v>
      </c>
      <c r="D101" s="112">
        <v>144.74</v>
      </c>
      <c r="E101" s="112">
        <v>145.69</v>
      </c>
      <c r="F101" s="112">
        <v>144.59</v>
      </c>
      <c r="G101" s="113">
        <v>3246200</v>
      </c>
      <c r="H101" s="107">
        <f t="shared" si="1"/>
        <v>-2.345960118678006E-3</v>
      </c>
      <c r="I101" s="47"/>
    </row>
    <row r="102" spans="1:9">
      <c r="A102" s="109">
        <v>45475</v>
      </c>
      <c r="B102" s="112">
        <v>146.43</v>
      </c>
      <c r="C102" s="112">
        <v>147.15</v>
      </c>
      <c r="D102" s="112">
        <v>145.74</v>
      </c>
      <c r="E102" s="112">
        <v>146.03</v>
      </c>
      <c r="F102" s="112">
        <v>144.93</v>
      </c>
      <c r="G102" s="113">
        <v>5492000</v>
      </c>
      <c r="H102" s="107">
        <f t="shared" si="1"/>
        <v>-2.8209715150680926E-3</v>
      </c>
      <c r="I102" s="47"/>
    </row>
    <row r="103" spans="1:9">
      <c r="A103" s="109">
        <v>45474</v>
      </c>
      <c r="B103" s="112">
        <v>146.07</v>
      </c>
      <c r="C103" s="112">
        <v>148.69999999999999</v>
      </c>
      <c r="D103" s="112">
        <v>145.62</v>
      </c>
      <c r="E103" s="112">
        <v>146.44</v>
      </c>
      <c r="F103" s="112">
        <v>145.34</v>
      </c>
      <c r="G103" s="113">
        <v>5144400</v>
      </c>
      <c r="H103" s="107">
        <f t="shared" si="1"/>
        <v>1.9302357645112444E-3</v>
      </c>
      <c r="I103" s="47"/>
    </row>
    <row r="104" spans="1:9">
      <c r="A104" s="109">
        <v>45471</v>
      </c>
      <c r="B104" s="112">
        <v>146.04</v>
      </c>
      <c r="C104" s="112">
        <v>147.07</v>
      </c>
      <c r="D104" s="112">
        <v>145.65</v>
      </c>
      <c r="E104" s="112">
        <v>146.16</v>
      </c>
      <c r="F104" s="112">
        <v>145.06</v>
      </c>
      <c r="G104" s="113">
        <v>10495700</v>
      </c>
      <c r="H104" s="107">
        <f t="shared" si="1"/>
        <v>2.4879060124396246E-3</v>
      </c>
      <c r="I104" s="47"/>
    </row>
    <row r="105" spans="1:9">
      <c r="A105" s="109">
        <v>45470</v>
      </c>
      <c r="B105" s="112">
        <v>146.80000000000001</v>
      </c>
      <c r="C105" s="112">
        <v>147.36000000000001</v>
      </c>
      <c r="D105" s="112">
        <v>144.84</v>
      </c>
      <c r="E105" s="112">
        <v>145.80000000000001</v>
      </c>
      <c r="F105" s="112">
        <v>144.69999999999999</v>
      </c>
      <c r="G105" s="113">
        <v>5739200</v>
      </c>
      <c r="H105" s="107">
        <f t="shared" si="1"/>
        <v>-6.9315764189144136E-3</v>
      </c>
      <c r="I105" s="47"/>
    </row>
    <row r="106" spans="1:9">
      <c r="A106" s="109">
        <v>45469</v>
      </c>
      <c r="B106" s="112">
        <v>146.19999999999999</v>
      </c>
      <c r="C106" s="112">
        <v>147.19</v>
      </c>
      <c r="D106" s="112">
        <v>145.78</v>
      </c>
      <c r="E106" s="112">
        <v>146.82</v>
      </c>
      <c r="F106" s="112">
        <v>145.71</v>
      </c>
      <c r="G106" s="113">
        <v>5267800</v>
      </c>
      <c r="H106" s="107">
        <f t="shared" si="1"/>
        <v>-2.5328587075575336E-3</v>
      </c>
      <c r="I106" s="47"/>
    </row>
    <row r="107" spans="1:9">
      <c r="A107" s="109">
        <v>45468</v>
      </c>
      <c r="B107" s="112">
        <v>149.18</v>
      </c>
      <c r="C107" s="112">
        <v>149.19999999999999</v>
      </c>
      <c r="D107" s="112">
        <v>146.94</v>
      </c>
      <c r="E107" s="112">
        <v>147.19</v>
      </c>
      <c r="F107" s="112">
        <v>146.08000000000001</v>
      </c>
      <c r="G107" s="113">
        <v>6620300</v>
      </c>
      <c r="H107" s="107">
        <f t="shared" si="1"/>
        <v>-1.2972972972972889E-2</v>
      </c>
      <c r="I107" s="47"/>
    </row>
    <row r="108" spans="1:9">
      <c r="A108" s="109">
        <v>45467</v>
      </c>
      <c r="B108" s="112">
        <v>149</v>
      </c>
      <c r="C108" s="112">
        <v>149.72</v>
      </c>
      <c r="D108" s="112">
        <v>148.16999999999999</v>
      </c>
      <c r="E108" s="112">
        <v>149.12</v>
      </c>
      <c r="F108" s="112">
        <v>148</v>
      </c>
      <c r="G108" s="113">
        <v>6914700</v>
      </c>
      <c r="H108" s="107">
        <f t="shared" si="1"/>
        <v>2.5062656641604321E-3</v>
      </c>
      <c r="I108" s="47"/>
    </row>
    <row r="109" spans="1:9">
      <c r="A109" s="109">
        <v>45464</v>
      </c>
      <c r="B109" s="112">
        <v>147.88999999999999</v>
      </c>
      <c r="C109" s="112">
        <v>149.08000000000001</v>
      </c>
      <c r="D109" s="112">
        <v>147.37</v>
      </c>
      <c r="E109" s="112">
        <v>148.75</v>
      </c>
      <c r="F109" s="112">
        <v>147.63</v>
      </c>
      <c r="G109" s="113">
        <v>15176900</v>
      </c>
      <c r="H109" s="107">
        <f t="shared" si="1"/>
        <v>6.5453057885048616E-3</v>
      </c>
      <c r="I109" s="47"/>
    </row>
    <row r="110" spans="1:9">
      <c r="A110" s="109">
        <v>45463</v>
      </c>
      <c r="B110" s="112">
        <v>145.27000000000001</v>
      </c>
      <c r="C110" s="112">
        <v>148.08000000000001</v>
      </c>
      <c r="D110" s="112">
        <v>145.01</v>
      </c>
      <c r="E110" s="112">
        <v>147.78</v>
      </c>
      <c r="F110" s="112">
        <v>146.66999999999999</v>
      </c>
      <c r="G110" s="113">
        <v>8749700</v>
      </c>
      <c r="H110" s="107">
        <f t="shared" si="1"/>
        <v>1.4666205465236776E-2</v>
      </c>
      <c r="I110" s="47"/>
    </row>
    <row r="111" spans="1:9">
      <c r="A111" s="109">
        <v>45461</v>
      </c>
      <c r="B111" s="112">
        <v>145.96</v>
      </c>
      <c r="C111" s="112">
        <v>146.38999999999999</v>
      </c>
      <c r="D111" s="112">
        <v>145.26</v>
      </c>
      <c r="E111" s="112">
        <v>145.65</v>
      </c>
      <c r="F111" s="112">
        <v>144.55000000000001</v>
      </c>
      <c r="G111" s="113">
        <v>6156600</v>
      </c>
      <c r="H111" s="107">
        <f t="shared" si="1"/>
        <v>-2.071108042802782E-3</v>
      </c>
      <c r="I111" s="47"/>
    </row>
    <row r="112" spans="1:9">
      <c r="A112" s="109">
        <v>45460</v>
      </c>
      <c r="B112" s="112">
        <v>145.02000000000001</v>
      </c>
      <c r="C112" s="112">
        <v>146.43</v>
      </c>
      <c r="D112" s="112">
        <v>144.74</v>
      </c>
      <c r="E112" s="112">
        <v>145.94999999999999</v>
      </c>
      <c r="F112" s="112">
        <v>144.85</v>
      </c>
      <c r="G112" s="113">
        <v>6666600</v>
      </c>
      <c r="H112" s="107">
        <f t="shared" si="1"/>
        <v>2.8385488784270049E-3</v>
      </c>
      <c r="I112" s="47"/>
    </row>
    <row r="113" spans="1:9">
      <c r="A113" s="109">
        <v>45457</v>
      </c>
      <c r="B113" s="112">
        <v>145.13999999999999</v>
      </c>
      <c r="C113" s="112">
        <v>145.97</v>
      </c>
      <c r="D113" s="112">
        <v>144.47999999999999</v>
      </c>
      <c r="E113" s="112">
        <v>145.54</v>
      </c>
      <c r="F113" s="112">
        <v>144.44</v>
      </c>
      <c r="G113" s="113">
        <v>4075300</v>
      </c>
      <c r="H113" s="107">
        <f t="shared" si="1"/>
        <v>6.2348458607553456E-4</v>
      </c>
      <c r="I113" s="47"/>
    </row>
    <row r="114" spans="1:9">
      <c r="A114" s="109">
        <v>45456</v>
      </c>
      <c r="B114" s="112">
        <v>145.07</v>
      </c>
      <c r="C114" s="112">
        <v>146</v>
      </c>
      <c r="D114" s="112">
        <v>143.88</v>
      </c>
      <c r="E114" s="112">
        <v>145.44999999999999</v>
      </c>
      <c r="F114" s="112">
        <v>144.35</v>
      </c>
      <c r="G114" s="113">
        <v>6840400</v>
      </c>
      <c r="H114" s="107">
        <f t="shared" si="1"/>
        <v>2.7718106853296407E-4</v>
      </c>
      <c r="I114" s="47"/>
    </row>
    <row r="115" spans="1:9">
      <c r="A115" s="109">
        <v>45455</v>
      </c>
      <c r="B115" s="112">
        <v>147.06</v>
      </c>
      <c r="C115" s="112">
        <v>147.21</v>
      </c>
      <c r="D115" s="112">
        <v>144.78</v>
      </c>
      <c r="E115" s="112">
        <v>145.41</v>
      </c>
      <c r="F115" s="112">
        <v>144.31</v>
      </c>
      <c r="G115" s="113">
        <v>6180500</v>
      </c>
      <c r="H115" s="107">
        <f t="shared" si="1"/>
        <v>-9.200137315482344E-3</v>
      </c>
      <c r="I115" s="47"/>
    </row>
    <row r="116" spans="1:9">
      <c r="A116" s="109">
        <v>45454</v>
      </c>
      <c r="B116" s="112">
        <v>146.81</v>
      </c>
      <c r="C116" s="112">
        <v>147.16</v>
      </c>
      <c r="D116" s="112">
        <v>145.44</v>
      </c>
      <c r="E116" s="112">
        <v>146.76</v>
      </c>
      <c r="F116" s="112">
        <v>145.65</v>
      </c>
      <c r="G116" s="113">
        <v>5661200</v>
      </c>
      <c r="H116" s="107">
        <f t="shared" si="1"/>
        <v>-2.5338994658266299E-3</v>
      </c>
      <c r="I116" s="47"/>
    </row>
    <row r="117" spans="1:9">
      <c r="A117" s="109">
        <v>45453</v>
      </c>
      <c r="B117" s="112">
        <v>146.53</v>
      </c>
      <c r="C117" s="112">
        <v>147.56</v>
      </c>
      <c r="D117" s="112">
        <v>145.6</v>
      </c>
      <c r="E117" s="112">
        <v>147.13</v>
      </c>
      <c r="F117" s="112">
        <v>146.02000000000001</v>
      </c>
      <c r="G117" s="113">
        <v>5751300</v>
      </c>
      <c r="H117" s="107">
        <f t="shared" si="1"/>
        <v>3.4253613756259071E-4</v>
      </c>
      <c r="I117" s="47"/>
    </row>
    <row r="118" spans="1:9">
      <c r="A118" s="109">
        <v>45450</v>
      </c>
      <c r="B118" s="112">
        <v>146.68</v>
      </c>
      <c r="C118" s="112">
        <v>148.30000000000001</v>
      </c>
      <c r="D118" s="112">
        <v>146.34</v>
      </c>
      <c r="E118" s="112">
        <v>147.08000000000001</v>
      </c>
      <c r="F118" s="112">
        <v>145.97</v>
      </c>
      <c r="G118" s="113">
        <v>5111600</v>
      </c>
      <c r="H118" s="107">
        <f t="shared" si="1"/>
        <v>4.4728874208643391E-3</v>
      </c>
      <c r="I118" s="47"/>
    </row>
    <row r="119" spans="1:9">
      <c r="A119" s="109">
        <v>45449</v>
      </c>
      <c r="B119" s="112">
        <v>145.5</v>
      </c>
      <c r="C119" s="112">
        <v>147</v>
      </c>
      <c r="D119" s="112">
        <v>144.66</v>
      </c>
      <c r="E119" s="112">
        <v>146.41999999999999</v>
      </c>
      <c r="F119" s="112">
        <v>145.32</v>
      </c>
      <c r="G119" s="113">
        <v>5016300</v>
      </c>
      <c r="H119" s="107">
        <f t="shared" si="1"/>
        <v>3.1062331745702258E-3</v>
      </c>
      <c r="I119" s="47"/>
    </row>
    <row r="120" spans="1:9">
      <c r="A120" s="109">
        <v>45448</v>
      </c>
      <c r="B120" s="112">
        <v>147.97</v>
      </c>
      <c r="C120" s="112">
        <v>147.99</v>
      </c>
      <c r="D120" s="112">
        <v>145.85</v>
      </c>
      <c r="E120" s="112">
        <v>145.97</v>
      </c>
      <c r="F120" s="112">
        <v>144.87</v>
      </c>
      <c r="G120" s="113">
        <v>5891300</v>
      </c>
      <c r="H120" s="107">
        <f t="shared" si="1"/>
        <v>-1.240711704956025E-2</v>
      </c>
      <c r="I120" s="47"/>
    </row>
    <row r="121" spans="1:9">
      <c r="A121" s="109">
        <v>45447</v>
      </c>
      <c r="B121" s="112">
        <v>147.47999999999999</v>
      </c>
      <c r="C121" s="112">
        <v>148.31</v>
      </c>
      <c r="D121" s="112">
        <v>146.19</v>
      </c>
      <c r="E121" s="112">
        <v>147.80000000000001</v>
      </c>
      <c r="F121" s="112">
        <v>146.69</v>
      </c>
      <c r="G121" s="113">
        <v>8876400</v>
      </c>
      <c r="H121" s="107">
        <f t="shared" si="1"/>
        <v>4.0919320739277279E-4</v>
      </c>
      <c r="I121" s="47"/>
    </row>
    <row r="122" spans="1:9">
      <c r="A122" s="109">
        <v>45446</v>
      </c>
      <c r="B122" s="112">
        <v>147.25</v>
      </c>
      <c r="C122" s="112">
        <v>148.9</v>
      </c>
      <c r="D122" s="112">
        <v>146.77000000000001</v>
      </c>
      <c r="E122" s="112">
        <v>147.74</v>
      </c>
      <c r="F122" s="112">
        <v>146.63</v>
      </c>
      <c r="G122" s="113">
        <v>7329200</v>
      </c>
      <c r="H122" s="107">
        <f t="shared" si="1"/>
        <v>7.2817201346431432E-3</v>
      </c>
      <c r="I122" s="47"/>
    </row>
    <row r="123" spans="1:9">
      <c r="A123" s="109">
        <v>45443</v>
      </c>
      <c r="B123" s="112">
        <v>145.57</v>
      </c>
      <c r="C123" s="112">
        <v>147.47999999999999</v>
      </c>
      <c r="D123" s="112">
        <v>145.19</v>
      </c>
      <c r="E123" s="112">
        <v>146.66999999999999</v>
      </c>
      <c r="F123" s="112">
        <v>145.57</v>
      </c>
      <c r="G123" s="113">
        <v>14621200</v>
      </c>
      <c r="H123" s="107">
        <f t="shared" si="1"/>
        <v>9.5707053193702443E-3</v>
      </c>
      <c r="I123" s="47"/>
    </row>
    <row r="124" spans="1:9">
      <c r="A124" s="109">
        <v>45442</v>
      </c>
      <c r="B124" s="112">
        <v>144.62</v>
      </c>
      <c r="C124" s="112">
        <v>145.61000000000001</v>
      </c>
      <c r="D124" s="112">
        <v>144.02000000000001</v>
      </c>
      <c r="E124" s="112">
        <v>145.28</v>
      </c>
      <c r="F124" s="112">
        <v>144.19</v>
      </c>
      <c r="G124" s="113">
        <v>8491100</v>
      </c>
      <c r="H124" s="107">
        <f t="shared" si="1"/>
        <v>5.8597837460760615E-3</v>
      </c>
      <c r="I124" s="47"/>
    </row>
    <row r="125" spans="1:9">
      <c r="A125" s="109">
        <v>45441</v>
      </c>
      <c r="B125" s="112">
        <v>143.82</v>
      </c>
      <c r="C125" s="112">
        <v>145.41999999999999</v>
      </c>
      <c r="D125" s="112">
        <v>143.71</v>
      </c>
      <c r="E125" s="112">
        <v>144.44</v>
      </c>
      <c r="F125" s="112">
        <v>143.35</v>
      </c>
      <c r="G125" s="113">
        <v>8263800</v>
      </c>
      <c r="H125" s="107">
        <f t="shared" si="1"/>
        <v>4.1873124432969698E-4</v>
      </c>
      <c r="I125" s="47"/>
    </row>
    <row r="126" spans="1:9">
      <c r="A126" s="109">
        <v>45440</v>
      </c>
      <c r="B126" s="112">
        <v>146.79</v>
      </c>
      <c r="C126" s="112">
        <v>146.79</v>
      </c>
      <c r="D126" s="112">
        <v>144.15</v>
      </c>
      <c r="E126" s="112">
        <v>144.38</v>
      </c>
      <c r="F126" s="112">
        <v>143.29</v>
      </c>
      <c r="G126" s="113">
        <v>10499800</v>
      </c>
      <c r="H126" s="107">
        <f t="shared" si="1"/>
        <v>-1.7619635266694238E-2</v>
      </c>
      <c r="I126" s="47"/>
    </row>
    <row r="127" spans="1:9">
      <c r="A127" s="109">
        <v>45436</v>
      </c>
      <c r="B127" s="112">
        <v>149.53</v>
      </c>
      <c r="C127" s="112">
        <v>149.81</v>
      </c>
      <c r="D127" s="112">
        <v>146.76</v>
      </c>
      <c r="E127" s="112">
        <v>146.97</v>
      </c>
      <c r="F127" s="112">
        <v>145.86000000000001</v>
      </c>
      <c r="G127" s="113">
        <v>9517000</v>
      </c>
      <c r="H127" s="107">
        <f t="shared" si="1"/>
        <v>-1.8240560005384529E-2</v>
      </c>
      <c r="I127" s="47"/>
    </row>
    <row r="128" spans="1:9">
      <c r="A128" s="109">
        <v>45435</v>
      </c>
      <c r="B128" s="112">
        <v>152.75</v>
      </c>
      <c r="C128" s="112">
        <v>152.84</v>
      </c>
      <c r="D128" s="112">
        <v>149.38</v>
      </c>
      <c r="E128" s="112">
        <v>149.69999999999999</v>
      </c>
      <c r="F128" s="112">
        <v>148.57</v>
      </c>
      <c r="G128" s="113">
        <v>8000400</v>
      </c>
      <c r="H128" s="107">
        <f t="shared" si="1"/>
        <v>-2.474727583037948E-2</v>
      </c>
      <c r="I128" s="47"/>
    </row>
    <row r="129" spans="1:9">
      <c r="A129" s="109">
        <v>45434</v>
      </c>
      <c r="B129" s="112">
        <v>150.84</v>
      </c>
      <c r="C129" s="112">
        <v>154.08000000000001</v>
      </c>
      <c r="D129" s="112">
        <v>150.32</v>
      </c>
      <c r="E129" s="112">
        <v>153.5</v>
      </c>
      <c r="F129" s="112">
        <v>152.34</v>
      </c>
      <c r="G129" s="113">
        <v>6609800</v>
      </c>
      <c r="H129" s="107">
        <f t="shared" si="1"/>
        <v>1.4923384410393132E-2</v>
      </c>
      <c r="I129" s="47"/>
    </row>
    <row r="130" spans="1:9">
      <c r="A130" s="109">
        <v>45433</v>
      </c>
      <c r="B130" s="112">
        <v>151.78</v>
      </c>
      <c r="C130" s="112">
        <v>152.59</v>
      </c>
      <c r="D130" s="112">
        <v>150.79</v>
      </c>
      <c r="E130" s="112">
        <v>151.24</v>
      </c>
      <c r="F130" s="112">
        <v>150.1</v>
      </c>
      <c r="G130" s="113">
        <v>5492400</v>
      </c>
      <c r="H130" s="107">
        <f t="shared" si="1"/>
        <v>-1.9982681675881662E-4</v>
      </c>
      <c r="I130" s="47"/>
    </row>
    <row r="131" spans="1:9">
      <c r="A131" s="109">
        <v>45432</v>
      </c>
      <c r="B131" s="112">
        <v>153.1</v>
      </c>
      <c r="C131" s="112">
        <v>153.38999999999999</v>
      </c>
      <c r="D131" s="112">
        <v>151.26</v>
      </c>
      <c r="E131" s="112">
        <v>151.27000000000001</v>
      </c>
      <c r="F131" s="112">
        <v>150.13</v>
      </c>
      <c r="G131" s="113">
        <v>7742300</v>
      </c>
      <c r="H131" s="107">
        <f t="shared" ref="H131:H194" si="2">(F131-F132)/F132</f>
        <v>-1.385969521807681E-2</v>
      </c>
      <c r="I131" s="47"/>
    </row>
    <row r="132" spans="1:9">
      <c r="A132" s="109">
        <v>45429</v>
      </c>
      <c r="B132" s="112">
        <v>154.86000000000001</v>
      </c>
      <c r="C132" s="112">
        <v>154.86000000000001</v>
      </c>
      <c r="D132" s="112">
        <v>153.71</v>
      </c>
      <c r="E132" s="112">
        <v>154.63999999999999</v>
      </c>
      <c r="F132" s="112">
        <v>152.24</v>
      </c>
      <c r="G132" s="113">
        <v>6521800</v>
      </c>
      <c r="H132" s="107">
        <f t="shared" si="2"/>
        <v>2.304299163868739E-3</v>
      </c>
      <c r="I132" s="47"/>
    </row>
    <row r="133" spans="1:9">
      <c r="A133" s="109">
        <v>45428</v>
      </c>
      <c r="B133" s="112">
        <v>153</v>
      </c>
      <c r="C133" s="112">
        <v>154.38</v>
      </c>
      <c r="D133" s="112">
        <v>152.33000000000001</v>
      </c>
      <c r="E133" s="112">
        <v>154.28</v>
      </c>
      <c r="F133" s="112">
        <v>151.88999999999999</v>
      </c>
      <c r="G133" s="113">
        <v>7591000</v>
      </c>
      <c r="H133" s="107">
        <f t="shared" si="2"/>
        <v>1.0578842315369093E-2</v>
      </c>
      <c r="I133" s="47"/>
    </row>
    <row r="134" spans="1:9">
      <c r="A134" s="109">
        <v>45427</v>
      </c>
      <c r="B134" s="112">
        <v>151.82</v>
      </c>
      <c r="C134" s="112">
        <v>152.94999999999999</v>
      </c>
      <c r="D134" s="112">
        <v>151.30000000000001</v>
      </c>
      <c r="E134" s="112">
        <v>152.66999999999999</v>
      </c>
      <c r="F134" s="112">
        <v>150.30000000000001</v>
      </c>
      <c r="G134" s="113">
        <v>5548000</v>
      </c>
      <c r="H134" s="107">
        <f t="shared" si="2"/>
        <v>8.5217741394350809E-3</v>
      </c>
      <c r="I134" s="47"/>
    </row>
    <row r="135" spans="1:9">
      <c r="A135" s="109">
        <v>45426</v>
      </c>
      <c r="B135" s="112">
        <v>151.85</v>
      </c>
      <c r="C135" s="112">
        <v>152.21</v>
      </c>
      <c r="D135" s="112">
        <v>150.69999999999999</v>
      </c>
      <c r="E135" s="112">
        <v>151.38</v>
      </c>
      <c r="F135" s="112">
        <v>149.03</v>
      </c>
      <c r="G135" s="113">
        <v>8254200</v>
      </c>
      <c r="H135" s="107">
        <f t="shared" si="2"/>
        <v>1.0075228371843477E-3</v>
      </c>
      <c r="I135" s="47"/>
    </row>
    <row r="136" spans="1:9">
      <c r="A136" s="109">
        <v>45425</v>
      </c>
      <c r="B136" s="112">
        <v>150.04</v>
      </c>
      <c r="C136" s="112">
        <v>152</v>
      </c>
      <c r="D136" s="112">
        <v>149.71</v>
      </c>
      <c r="E136" s="112">
        <v>151.22</v>
      </c>
      <c r="F136" s="112">
        <v>148.88</v>
      </c>
      <c r="G136" s="113">
        <v>5628500</v>
      </c>
      <c r="H136" s="107">
        <f t="shared" si="2"/>
        <v>8.7404295683988897E-3</v>
      </c>
      <c r="I136" s="47"/>
    </row>
    <row r="137" spans="1:9">
      <c r="A137" s="109">
        <v>45422</v>
      </c>
      <c r="B137" s="112">
        <v>150</v>
      </c>
      <c r="C137" s="112">
        <v>150.09</v>
      </c>
      <c r="D137" s="112">
        <v>149.19</v>
      </c>
      <c r="E137" s="112">
        <v>149.91</v>
      </c>
      <c r="F137" s="112">
        <v>147.59</v>
      </c>
      <c r="G137" s="113">
        <v>5710600</v>
      </c>
      <c r="H137" s="107">
        <f t="shared" si="2"/>
        <v>4.0669694299466056E-4</v>
      </c>
      <c r="I137" s="47"/>
    </row>
    <row r="138" spans="1:9">
      <c r="A138" s="109">
        <v>45421</v>
      </c>
      <c r="B138" s="112">
        <v>148.97999999999999</v>
      </c>
      <c r="C138" s="112">
        <v>150.1</v>
      </c>
      <c r="D138" s="112">
        <v>148.88999999999999</v>
      </c>
      <c r="E138" s="112">
        <v>149.85</v>
      </c>
      <c r="F138" s="112">
        <v>147.53</v>
      </c>
      <c r="G138" s="113">
        <v>6546200</v>
      </c>
      <c r="H138" s="107">
        <f t="shared" si="2"/>
        <v>6.0692853246045748E-3</v>
      </c>
      <c r="I138" s="47"/>
    </row>
    <row r="139" spans="1:9">
      <c r="A139" s="109">
        <v>45420</v>
      </c>
      <c r="B139" s="112">
        <v>149.12</v>
      </c>
      <c r="C139" s="112">
        <v>149.72999999999999</v>
      </c>
      <c r="D139" s="112">
        <v>148.69999999999999</v>
      </c>
      <c r="E139" s="112">
        <v>148.94999999999999</v>
      </c>
      <c r="F139" s="112">
        <v>146.63999999999999</v>
      </c>
      <c r="G139" s="113">
        <v>7735100</v>
      </c>
      <c r="H139" s="107">
        <f t="shared" si="2"/>
        <v>1.5025269771889009E-3</v>
      </c>
      <c r="I139" s="47"/>
    </row>
    <row r="140" spans="1:9">
      <c r="A140" s="109">
        <v>45419</v>
      </c>
      <c r="B140" s="112">
        <v>149.38</v>
      </c>
      <c r="C140" s="112">
        <v>149.72999999999999</v>
      </c>
      <c r="D140" s="112">
        <v>148.44999999999999</v>
      </c>
      <c r="E140" s="112">
        <v>148.72</v>
      </c>
      <c r="F140" s="112">
        <v>146.41999999999999</v>
      </c>
      <c r="G140" s="113">
        <v>7333500</v>
      </c>
      <c r="H140" s="107">
        <f t="shared" si="2"/>
        <v>9.5706863549348069E-4</v>
      </c>
      <c r="I140" s="47"/>
    </row>
    <row r="141" spans="1:9">
      <c r="A141" s="109">
        <v>45418</v>
      </c>
      <c r="B141" s="112">
        <v>149.87</v>
      </c>
      <c r="C141" s="112">
        <v>150.05000000000001</v>
      </c>
      <c r="D141" s="112">
        <v>147.91</v>
      </c>
      <c r="E141" s="112">
        <v>148.58000000000001</v>
      </c>
      <c r="F141" s="112">
        <v>146.28</v>
      </c>
      <c r="G141" s="113">
        <v>5042800</v>
      </c>
      <c r="H141" s="107">
        <f t="shared" si="2"/>
        <v>-4.6271094175286253E-3</v>
      </c>
      <c r="I141" s="47"/>
    </row>
    <row r="142" spans="1:9">
      <c r="A142" s="109">
        <v>45415</v>
      </c>
      <c r="B142" s="112">
        <v>149.88999999999999</v>
      </c>
      <c r="C142" s="112">
        <v>149.88999999999999</v>
      </c>
      <c r="D142" s="112">
        <v>147.82</v>
      </c>
      <c r="E142" s="112">
        <v>149.27000000000001</v>
      </c>
      <c r="F142" s="112">
        <v>146.96</v>
      </c>
      <c r="G142" s="113">
        <v>6532700</v>
      </c>
      <c r="H142" s="107">
        <f t="shared" si="2"/>
        <v>-4.3360433604335124E-3</v>
      </c>
      <c r="I142" s="47"/>
    </row>
    <row r="143" spans="1:9">
      <c r="A143" s="109">
        <v>45414</v>
      </c>
      <c r="B143" s="112">
        <v>152.04</v>
      </c>
      <c r="C143" s="112">
        <v>152.33000000000001</v>
      </c>
      <c r="D143" s="112">
        <v>149.13999999999999</v>
      </c>
      <c r="E143" s="112">
        <v>149.91999999999999</v>
      </c>
      <c r="F143" s="112">
        <v>147.6</v>
      </c>
      <c r="G143" s="113">
        <v>8459800</v>
      </c>
      <c r="H143" s="107">
        <f t="shared" si="2"/>
        <v>-8.3310937919914615E-3</v>
      </c>
      <c r="I143" s="47"/>
    </row>
    <row r="144" spans="1:9">
      <c r="A144" s="109">
        <v>45413</v>
      </c>
      <c r="B144" s="112">
        <v>148.74</v>
      </c>
      <c r="C144" s="112">
        <v>151.85</v>
      </c>
      <c r="D144" s="112">
        <v>147.62</v>
      </c>
      <c r="E144" s="112">
        <v>151.18</v>
      </c>
      <c r="F144" s="112">
        <v>148.84</v>
      </c>
      <c r="G144" s="113">
        <v>14470900</v>
      </c>
      <c r="H144" s="107">
        <f t="shared" si="2"/>
        <v>4.5591851071303195E-2</v>
      </c>
      <c r="I144" s="47"/>
    </row>
    <row r="145" spans="1:9">
      <c r="A145" s="109">
        <v>45412</v>
      </c>
      <c r="B145" s="112">
        <v>146.88</v>
      </c>
      <c r="C145" s="112">
        <v>146.88</v>
      </c>
      <c r="D145" s="112">
        <v>144.53</v>
      </c>
      <c r="E145" s="112">
        <v>144.59</v>
      </c>
      <c r="F145" s="112">
        <v>142.35</v>
      </c>
      <c r="G145" s="113">
        <v>8817700</v>
      </c>
      <c r="H145" s="107">
        <f t="shared" si="2"/>
        <v>-1.5219647180906378E-2</v>
      </c>
      <c r="I145" s="47"/>
    </row>
    <row r="146" spans="1:9">
      <c r="A146" s="109">
        <v>45411</v>
      </c>
      <c r="B146" s="112">
        <v>146.13999999999999</v>
      </c>
      <c r="C146" s="112">
        <v>147.22</v>
      </c>
      <c r="D146" s="112">
        <v>145.99</v>
      </c>
      <c r="E146" s="112">
        <v>146.82</v>
      </c>
      <c r="F146" s="112">
        <v>144.55000000000001</v>
      </c>
      <c r="G146" s="113">
        <v>6149600</v>
      </c>
      <c r="H146" s="107">
        <f t="shared" si="2"/>
        <v>4.6566583263832079E-3</v>
      </c>
      <c r="I146" s="47"/>
    </row>
    <row r="147" spans="1:9">
      <c r="A147" s="109">
        <v>45408</v>
      </c>
      <c r="B147" s="112">
        <v>146.69999999999999</v>
      </c>
      <c r="C147" s="112">
        <v>147.18</v>
      </c>
      <c r="D147" s="112">
        <v>145.94999999999999</v>
      </c>
      <c r="E147" s="112">
        <v>146.13999999999999</v>
      </c>
      <c r="F147" s="112">
        <v>143.88</v>
      </c>
      <c r="G147" s="113">
        <v>6183000</v>
      </c>
      <c r="H147" s="107">
        <f t="shared" si="2"/>
        <v>-4.6350743687306531E-3</v>
      </c>
      <c r="I147" s="47"/>
    </row>
    <row r="148" spans="1:9">
      <c r="A148" s="109">
        <v>45407</v>
      </c>
      <c r="B148" s="112">
        <v>149.37</v>
      </c>
      <c r="C148" s="112">
        <v>149.58000000000001</v>
      </c>
      <c r="D148" s="112">
        <v>146.33000000000001</v>
      </c>
      <c r="E148" s="112">
        <v>146.82</v>
      </c>
      <c r="F148" s="112">
        <v>144.55000000000001</v>
      </c>
      <c r="G148" s="113">
        <v>7642700</v>
      </c>
      <c r="H148" s="107">
        <f t="shared" si="2"/>
        <v>-1.148875059837228E-2</v>
      </c>
      <c r="I148" s="47"/>
    </row>
    <row r="149" spans="1:9">
      <c r="A149" s="109">
        <v>45406</v>
      </c>
      <c r="B149" s="112">
        <v>148.13999999999999</v>
      </c>
      <c r="C149" s="112">
        <v>148.99</v>
      </c>
      <c r="D149" s="112">
        <v>146.86000000000001</v>
      </c>
      <c r="E149" s="112">
        <v>148.53</v>
      </c>
      <c r="F149" s="112">
        <v>146.22999999999999</v>
      </c>
      <c r="G149" s="113">
        <v>9756300</v>
      </c>
      <c r="H149" s="107">
        <f t="shared" si="2"/>
        <v>-6.8595490355882862E-3</v>
      </c>
      <c r="I149" s="47"/>
    </row>
    <row r="150" spans="1:9">
      <c r="A150" s="109">
        <v>45405</v>
      </c>
      <c r="B150" s="112">
        <v>149.86000000000001</v>
      </c>
      <c r="C150" s="112">
        <v>150.49</v>
      </c>
      <c r="D150" s="112">
        <v>148.19999999999999</v>
      </c>
      <c r="E150" s="112">
        <v>149.56</v>
      </c>
      <c r="F150" s="112">
        <v>147.24</v>
      </c>
      <c r="G150" s="113">
        <v>10110400</v>
      </c>
      <c r="H150" s="107">
        <f t="shared" si="2"/>
        <v>2.9289557932021442E-3</v>
      </c>
      <c r="I150" s="47"/>
    </row>
    <row r="151" spans="1:9">
      <c r="A151" s="109">
        <v>45404</v>
      </c>
      <c r="B151" s="112">
        <v>148.51</v>
      </c>
      <c r="C151" s="112">
        <v>150.27000000000001</v>
      </c>
      <c r="D151" s="112">
        <v>147.30000000000001</v>
      </c>
      <c r="E151" s="112">
        <v>149.12</v>
      </c>
      <c r="F151" s="112">
        <v>146.81</v>
      </c>
      <c r="G151" s="113">
        <v>10118700</v>
      </c>
      <c r="H151" s="107">
        <f t="shared" si="2"/>
        <v>8.1719544018678588E-3</v>
      </c>
      <c r="I151" s="47"/>
    </row>
    <row r="152" spans="1:9">
      <c r="A152" s="109">
        <v>45401</v>
      </c>
      <c r="B152" s="112">
        <v>146.15</v>
      </c>
      <c r="C152" s="112">
        <v>148.13</v>
      </c>
      <c r="D152" s="112">
        <v>144.54</v>
      </c>
      <c r="E152" s="112">
        <v>147.91</v>
      </c>
      <c r="F152" s="112">
        <v>145.62</v>
      </c>
      <c r="G152" s="113">
        <v>9747700</v>
      </c>
      <c r="H152" s="107">
        <f t="shared" si="2"/>
        <v>1.4914970727627649E-2</v>
      </c>
      <c r="I152" s="47"/>
    </row>
    <row r="153" spans="1:9">
      <c r="A153" s="109">
        <v>45400</v>
      </c>
      <c r="B153" s="112">
        <v>144.97999999999999</v>
      </c>
      <c r="C153" s="112">
        <v>145.80000000000001</v>
      </c>
      <c r="D153" s="112">
        <v>143.13</v>
      </c>
      <c r="E153" s="112">
        <v>145.74</v>
      </c>
      <c r="F153" s="112">
        <v>143.47999999999999</v>
      </c>
      <c r="G153" s="113">
        <v>9887700</v>
      </c>
      <c r="H153" s="107">
        <f t="shared" si="2"/>
        <v>6.6652634533079956E-3</v>
      </c>
      <c r="I153" s="47"/>
    </row>
    <row r="154" spans="1:9">
      <c r="A154" s="109">
        <v>45399</v>
      </c>
      <c r="B154" s="112">
        <v>145</v>
      </c>
      <c r="C154" s="112">
        <v>145.41</v>
      </c>
      <c r="D154" s="112">
        <v>143.54</v>
      </c>
      <c r="E154" s="112">
        <v>144.77000000000001</v>
      </c>
      <c r="F154" s="112">
        <v>142.53</v>
      </c>
      <c r="G154" s="113">
        <v>9378100</v>
      </c>
      <c r="H154" s="107">
        <f t="shared" si="2"/>
        <v>2.2501933759932011E-3</v>
      </c>
      <c r="I154" s="47"/>
    </row>
    <row r="155" spans="1:9">
      <c r="A155" s="109">
        <v>45398</v>
      </c>
      <c r="B155" s="112">
        <v>145.01</v>
      </c>
      <c r="C155" s="112">
        <v>146.25</v>
      </c>
      <c r="D155" s="112">
        <v>143.38999999999999</v>
      </c>
      <c r="E155" s="112">
        <v>144.44999999999999</v>
      </c>
      <c r="F155" s="112">
        <v>142.21</v>
      </c>
      <c r="G155" s="113">
        <v>12774900</v>
      </c>
      <c r="H155" s="107">
        <f t="shared" si="2"/>
        <v>-2.1266345492085361E-2</v>
      </c>
      <c r="I155" s="47"/>
    </row>
    <row r="156" spans="1:9">
      <c r="A156" s="109">
        <v>45397</v>
      </c>
      <c r="B156" s="112">
        <v>148.37</v>
      </c>
      <c r="C156" s="112">
        <v>149.49</v>
      </c>
      <c r="D156" s="112">
        <v>147.37</v>
      </c>
      <c r="E156" s="112">
        <v>147.59</v>
      </c>
      <c r="F156" s="112">
        <v>145.30000000000001</v>
      </c>
      <c r="G156" s="113">
        <v>8502300</v>
      </c>
      <c r="H156" s="107">
        <f t="shared" si="2"/>
        <v>4.8199407835861465E-4</v>
      </c>
      <c r="I156" s="47"/>
    </row>
    <row r="157" spans="1:9">
      <c r="A157" s="109">
        <v>45394</v>
      </c>
      <c r="B157" s="112">
        <v>148.06</v>
      </c>
      <c r="C157" s="112">
        <v>149.07</v>
      </c>
      <c r="D157" s="112">
        <v>147.15</v>
      </c>
      <c r="E157" s="112">
        <v>147.52000000000001</v>
      </c>
      <c r="F157" s="112">
        <v>145.22999999999999</v>
      </c>
      <c r="G157" s="113">
        <v>7097500</v>
      </c>
      <c r="H157" s="107">
        <f t="shared" si="2"/>
        <v>-8.6012697112432205E-3</v>
      </c>
      <c r="I157" s="47"/>
    </row>
    <row r="158" spans="1:9">
      <c r="A158" s="109">
        <v>45393</v>
      </c>
      <c r="B158" s="112">
        <v>150.80000000000001</v>
      </c>
      <c r="C158" s="112">
        <v>150.87</v>
      </c>
      <c r="D158" s="112">
        <v>148.38999999999999</v>
      </c>
      <c r="E158" s="112">
        <v>148.79</v>
      </c>
      <c r="F158" s="112">
        <v>146.49</v>
      </c>
      <c r="G158" s="113">
        <v>8374400</v>
      </c>
      <c r="H158" s="107">
        <f t="shared" si="2"/>
        <v>-9.3325218096976768E-3</v>
      </c>
      <c r="I158" s="47"/>
    </row>
    <row r="159" spans="1:9">
      <c r="A159" s="109">
        <v>45392</v>
      </c>
      <c r="B159" s="112">
        <v>151.53</v>
      </c>
      <c r="C159" s="112">
        <v>151.82</v>
      </c>
      <c r="D159" s="112">
        <v>149.76</v>
      </c>
      <c r="E159" s="112">
        <v>150.19999999999999</v>
      </c>
      <c r="F159" s="112">
        <v>147.87</v>
      </c>
      <c r="G159" s="113">
        <v>6809500</v>
      </c>
      <c r="H159" s="107">
        <f t="shared" si="2"/>
        <v>-1.3739745214433417E-2</v>
      </c>
      <c r="I159" s="47"/>
    </row>
    <row r="160" spans="1:9">
      <c r="A160" s="109">
        <v>45391</v>
      </c>
      <c r="B160" s="112">
        <v>151.55000000000001</v>
      </c>
      <c r="C160" s="112">
        <v>152.53</v>
      </c>
      <c r="D160" s="112">
        <v>150.94</v>
      </c>
      <c r="E160" s="112">
        <v>152.29</v>
      </c>
      <c r="F160" s="112">
        <v>149.93</v>
      </c>
      <c r="G160" s="113">
        <v>6135600</v>
      </c>
      <c r="H160" s="107">
        <f t="shared" si="2"/>
        <v>4.6234253551326564E-3</v>
      </c>
      <c r="I160" s="47"/>
    </row>
    <row r="161" spans="1:9">
      <c r="A161" s="109">
        <v>45390</v>
      </c>
      <c r="B161" s="112">
        <v>151.99</v>
      </c>
      <c r="C161" s="112">
        <v>153.04</v>
      </c>
      <c r="D161" s="112">
        <v>151.56</v>
      </c>
      <c r="E161" s="112">
        <v>151.59</v>
      </c>
      <c r="F161" s="112">
        <v>149.24</v>
      </c>
      <c r="G161" s="113">
        <v>5935400</v>
      </c>
      <c r="H161" s="107">
        <f t="shared" si="2"/>
        <v>-5.2656135439578221E-3</v>
      </c>
      <c r="I161" s="47"/>
    </row>
    <row r="162" spans="1:9">
      <c r="A162" s="109">
        <v>45387</v>
      </c>
      <c r="B162" s="112">
        <v>152.03</v>
      </c>
      <c r="C162" s="112">
        <v>153.01</v>
      </c>
      <c r="D162" s="112">
        <v>151.61000000000001</v>
      </c>
      <c r="E162" s="112">
        <v>152.38999999999999</v>
      </c>
      <c r="F162" s="112">
        <v>150.03</v>
      </c>
      <c r="G162" s="113">
        <v>6778100</v>
      </c>
      <c r="H162" s="107">
        <f t="shared" si="2"/>
        <v>-7.3264952710793416E-4</v>
      </c>
      <c r="I162" s="47"/>
    </row>
    <row r="163" spans="1:9">
      <c r="A163" s="109">
        <v>45386</v>
      </c>
      <c r="B163" s="112">
        <v>155.31</v>
      </c>
      <c r="C163" s="112">
        <v>155.5</v>
      </c>
      <c r="D163" s="112">
        <v>152.41</v>
      </c>
      <c r="E163" s="112">
        <v>152.5</v>
      </c>
      <c r="F163" s="112">
        <v>150.13999999999999</v>
      </c>
      <c r="G163" s="113">
        <v>6947400</v>
      </c>
      <c r="H163" s="107">
        <f t="shared" si="2"/>
        <v>-1.1391321524988597E-2</v>
      </c>
      <c r="I163" s="47"/>
    </row>
    <row r="164" spans="1:9">
      <c r="A164" s="109">
        <v>45385</v>
      </c>
      <c r="B164" s="112">
        <v>157.79</v>
      </c>
      <c r="C164" s="112">
        <v>158.05000000000001</v>
      </c>
      <c r="D164" s="112">
        <v>154.25</v>
      </c>
      <c r="E164" s="112">
        <v>154.26</v>
      </c>
      <c r="F164" s="112">
        <v>151.87</v>
      </c>
      <c r="G164" s="113">
        <v>8098200</v>
      </c>
      <c r="H164" s="107">
        <f t="shared" si="2"/>
        <v>-2.2023311224161166E-2</v>
      </c>
      <c r="I164" s="47"/>
    </row>
    <row r="165" spans="1:9">
      <c r="A165" s="109">
        <v>45384</v>
      </c>
      <c r="B165" s="112">
        <v>156.57</v>
      </c>
      <c r="C165" s="112">
        <v>157.83000000000001</v>
      </c>
      <c r="D165" s="112">
        <v>155.94999999999999</v>
      </c>
      <c r="E165" s="112">
        <v>157.72999999999999</v>
      </c>
      <c r="F165" s="112">
        <v>155.29</v>
      </c>
      <c r="G165" s="113">
        <v>6102300</v>
      </c>
      <c r="H165" s="107">
        <f t="shared" si="2"/>
        <v>-3.2187459765682609E-4</v>
      </c>
      <c r="I165" s="47"/>
    </row>
    <row r="166" spans="1:9">
      <c r="A166" s="109">
        <v>45383</v>
      </c>
      <c r="B166" s="112">
        <v>157.72</v>
      </c>
      <c r="C166" s="112">
        <v>158.15</v>
      </c>
      <c r="D166" s="112">
        <v>156.77000000000001</v>
      </c>
      <c r="E166" s="112">
        <v>157.78</v>
      </c>
      <c r="F166" s="112">
        <v>155.34</v>
      </c>
      <c r="G166" s="113">
        <v>4364700</v>
      </c>
      <c r="H166" s="107">
        <f t="shared" si="2"/>
        <v>-2.5683832027738902E-3</v>
      </c>
      <c r="I166" s="47"/>
    </row>
    <row r="167" spans="1:9">
      <c r="A167" s="109">
        <v>45379</v>
      </c>
      <c r="B167" s="112">
        <v>158.19999999999999</v>
      </c>
      <c r="C167" s="112">
        <v>159.13999999999999</v>
      </c>
      <c r="D167" s="112">
        <v>158.11000000000001</v>
      </c>
      <c r="E167" s="112">
        <v>158.19</v>
      </c>
      <c r="F167" s="112">
        <v>155.74</v>
      </c>
      <c r="G167" s="113">
        <v>6181500</v>
      </c>
      <c r="H167" s="107">
        <f t="shared" si="2"/>
        <v>1.4790045656229065E-3</v>
      </c>
      <c r="I167" s="47"/>
    </row>
    <row r="168" spans="1:9">
      <c r="A168" s="109">
        <v>45378</v>
      </c>
      <c r="B168" s="112">
        <v>155.99</v>
      </c>
      <c r="C168" s="112">
        <v>158.22</v>
      </c>
      <c r="D168" s="112">
        <v>155.44</v>
      </c>
      <c r="E168" s="112">
        <v>157.96</v>
      </c>
      <c r="F168" s="112">
        <v>155.51</v>
      </c>
      <c r="G168" s="113">
        <v>8461600</v>
      </c>
      <c r="H168" s="107">
        <f t="shared" si="2"/>
        <v>1.4019300991131828E-2</v>
      </c>
      <c r="I168" s="47"/>
    </row>
    <row r="169" spans="1:9">
      <c r="A169" s="109">
        <v>45377</v>
      </c>
      <c r="B169" s="112">
        <v>155.61000000000001</v>
      </c>
      <c r="C169" s="112">
        <v>156.22999999999999</v>
      </c>
      <c r="D169" s="112">
        <v>154.76</v>
      </c>
      <c r="E169" s="112">
        <v>155.77000000000001</v>
      </c>
      <c r="F169" s="112">
        <v>153.36000000000001</v>
      </c>
      <c r="G169" s="113">
        <v>6864100</v>
      </c>
      <c r="H169" s="107">
        <f t="shared" si="2"/>
        <v>3.5335689045937735E-3</v>
      </c>
      <c r="I169" s="47"/>
    </row>
    <row r="170" spans="1:9">
      <c r="A170" s="109">
        <v>45376</v>
      </c>
      <c r="B170" s="112">
        <v>155.4</v>
      </c>
      <c r="C170" s="112">
        <v>155.97999999999999</v>
      </c>
      <c r="D170" s="112">
        <v>154.9</v>
      </c>
      <c r="E170" s="112">
        <v>155.22</v>
      </c>
      <c r="F170" s="112">
        <v>152.82</v>
      </c>
      <c r="G170" s="113">
        <v>7498100</v>
      </c>
      <c r="H170" s="107">
        <f t="shared" si="2"/>
        <v>-6.5432179546027127E-5</v>
      </c>
      <c r="I170" s="47"/>
    </row>
    <row r="171" spans="1:9">
      <c r="A171" s="109">
        <v>45373</v>
      </c>
      <c r="B171" s="112">
        <v>155.69</v>
      </c>
      <c r="C171" s="112">
        <v>156.36000000000001</v>
      </c>
      <c r="D171" s="112">
        <v>155.11000000000001</v>
      </c>
      <c r="E171" s="112">
        <v>155.22999999999999</v>
      </c>
      <c r="F171" s="112">
        <v>152.83000000000001</v>
      </c>
      <c r="G171" s="113">
        <v>7245400</v>
      </c>
      <c r="H171" s="107">
        <f t="shared" si="2"/>
        <v>-3.3259423503325348E-3</v>
      </c>
      <c r="I171" s="47"/>
    </row>
    <row r="172" spans="1:9">
      <c r="A172" s="109">
        <v>45372</v>
      </c>
      <c r="B172" s="112">
        <v>155.59</v>
      </c>
      <c r="C172" s="112">
        <v>156.94999999999999</v>
      </c>
      <c r="D172" s="112">
        <v>155.1</v>
      </c>
      <c r="E172" s="112">
        <v>155.75</v>
      </c>
      <c r="F172" s="112">
        <v>153.34</v>
      </c>
      <c r="G172" s="113">
        <v>5915800</v>
      </c>
      <c r="H172" s="107">
        <f t="shared" si="2"/>
        <v>-6.52103032278507E-5</v>
      </c>
      <c r="I172" s="47"/>
    </row>
    <row r="173" spans="1:9">
      <c r="A173" s="109">
        <v>45371</v>
      </c>
      <c r="B173" s="112">
        <v>155.69999999999999</v>
      </c>
      <c r="C173" s="112">
        <v>156.44</v>
      </c>
      <c r="D173" s="112">
        <v>155.21</v>
      </c>
      <c r="E173" s="112">
        <v>155.76</v>
      </c>
      <c r="F173" s="112">
        <v>153.35</v>
      </c>
      <c r="G173" s="113">
        <v>5982300</v>
      </c>
      <c r="H173" s="107">
        <f t="shared" si="2"/>
        <v>-2.8610442811626098E-3</v>
      </c>
      <c r="I173" s="47"/>
    </row>
    <row r="174" spans="1:9">
      <c r="A174" s="109">
        <v>45370</v>
      </c>
      <c r="B174" s="112">
        <v>156.66999999999999</v>
      </c>
      <c r="C174" s="112">
        <v>156.86000000000001</v>
      </c>
      <c r="D174" s="112">
        <v>155.66</v>
      </c>
      <c r="E174" s="112">
        <v>156.21</v>
      </c>
      <c r="F174" s="112">
        <v>153.79</v>
      </c>
      <c r="G174" s="113">
        <v>7840600</v>
      </c>
      <c r="H174" s="107">
        <f t="shared" si="2"/>
        <v>-3.4989956586536667E-3</v>
      </c>
      <c r="I174" s="47"/>
    </row>
    <row r="175" spans="1:9">
      <c r="A175" s="109">
        <v>45369</v>
      </c>
      <c r="B175" s="112">
        <v>158.57</v>
      </c>
      <c r="C175" s="112">
        <v>158.69</v>
      </c>
      <c r="D175" s="112">
        <v>156.5</v>
      </c>
      <c r="E175" s="112">
        <v>156.76</v>
      </c>
      <c r="F175" s="112">
        <v>154.33000000000001</v>
      </c>
      <c r="G175" s="113">
        <v>6602300</v>
      </c>
      <c r="H175" s="107">
        <f t="shared" si="2"/>
        <v>-8.989918448596786E-3</v>
      </c>
      <c r="I175" s="47"/>
    </row>
    <row r="176" spans="1:9">
      <c r="A176" s="109">
        <v>45366</v>
      </c>
      <c r="B176" s="112">
        <v>158.06</v>
      </c>
      <c r="C176" s="112">
        <v>159.19</v>
      </c>
      <c r="D176" s="112">
        <v>157.1</v>
      </c>
      <c r="E176" s="112">
        <v>158.18</v>
      </c>
      <c r="F176" s="112">
        <v>155.72999999999999</v>
      </c>
      <c r="G176" s="113">
        <v>13165500</v>
      </c>
      <c r="H176" s="107">
        <f t="shared" si="2"/>
        <v>-6.4437922674494023E-3</v>
      </c>
      <c r="I176" s="47"/>
    </row>
    <row r="177" spans="1:9">
      <c r="A177" s="109">
        <v>45365</v>
      </c>
      <c r="B177" s="112">
        <v>160.94</v>
      </c>
      <c r="C177" s="112">
        <v>161.54</v>
      </c>
      <c r="D177" s="112">
        <v>158.69</v>
      </c>
      <c r="E177" s="112">
        <v>159.21</v>
      </c>
      <c r="F177" s="112">
        <v>156.74</v>
      </c>
      <c r="G177" s="113">
        <v>6988300</v>
      </c>
      <c r="H177" s="107">
        <f t="shared" si="2"/>
        <v>-1.1727616645649339E-2</v>
      </c>
      <c r="I177" s="47"/>
    </row>
    <row r="178" spans="1:9">
      <c r="A178" s="109">
        <v>45364</v>
      </c>
      <c r="B178" s="112">
        <v>162.53</v>
      </c>
      <c r="C178" s="112">
        <v>162.68</v>
      </c>
      <c r="D178" s="112">
        <v>159.81</v>
      </c>
      <c r="E178" s="112">
        <v>161.1</v>
      </c>
      <c r="F178" s="112">
        <v>158.6</v>
      </c>
      <c r="G178" s="113">
        <v>6260000</v>
      </c>
      <c r="H178" s="107">
        <f t="shared" si="2"/>
        <v>-1.011109724129325E-2</v>
      </c>
      <c r="I178" s="47"/>
    </row>
    <row r="179" spans="1:9">
      <c r="A179" s="109">
        <v>45363</v>
      </c>
      <c r="B179" s="112">
        <v>161.58000000000001</v>
      </c>
      <c r="C179" s="112">
        <v>163.11000000000001</v>
      </c>
      <c r="D179" s="112">
        <v>161.13</v>
      </c>
      <c r="E179" s="112">
        <v>162.74</v>
      </c>
      <c r="F179" s="112">
        <v>160.22</v>
      </c>
      <c r="G179" s="113">
        <v>8018700</v>
      </c>
      <c r="H179" s="107">
        <f t="shared" si="2"/>
        <v>9.3870093870094453E-3</v>
      </c>
      <c r="I179" s="47"/>
    </row>
    <row r="180" spans="1:9">
      <c r="A180" s="109">
        <v>45362</v>
      </c>
      <c r="B180" s="112">
        <v>159.49</v>
      </c>
      <c r="C180" s="112">
        <v>161.32</v>
      </c>
      <c r="D180" s="112">
        <v>158.88</v>
      </c>
      <c r="E180" s="112">
        <v>161.22999999999999</v>
      </c>
      <c r="F180" s="112">
        <v>158.72999999999999</v>
      </c>
      <c r="G180" s="113">
        <v>4620800</v>
      </c>
      <c r="H180" s="107">
        <f t="shared" si="2"/>
        <v>1.0697230181470731E-2</v>
      </c>
      <c r="I180" s="47"/>
    </row>
    <row r="181" spans="1:9">
      <c r="A181" s="109">
        <v>45359</v>
      </c>
      <c r="B181" s="112">
        <v>158.87</v>
      </c>
      <c r="C181" s="112">
        <v>160.38999999999999</v>
      </c>
      <c r="D181" s="112">
        <v>158.43</v>
      </c>
      <c r="E181" s="112">
        <v>159.52000000000001</v>
      </c>
      <c r="F181" s="112">
        <v>157.05000000000001</v>
      </c>
      <c r="G181" s="113">
        <v>5283200</v>
      </c>
      <c r="H181" s="107">
        <f t="shared" si="2"/>
        <v>4.0918099865738427E-3</v>
      </c>
      <c r="I181" s="47"/>
    </row>
    <row r="182" spans="1:9">
      <c r="A182" s="109">
        <v>45358</v>
      </c>
      <c r="B182" s="112">
        <v>160</v>
      </c>
      <c r="C182" s="112">
        <v>160.36000000000001</v>
      </c>
      <c r="D182" s="112">
        <v>158.24</v>
      </c>
      <c r="E182" s="112">
        <v>158.87</v>
      </c>
      <c r="F182" s="112">
        <v>156.41</v>
      </c>
      <c r="G182" s="113">
        <v>5188700</v>
      </c>
      <c r="H182" s="107">
        <f t="shared" si="2"/>
        <v>-2.9323643781475612E-3</v>
      </c>
      <c r="I182" s="47"/>
    </row>
    <row r="183" spans="1:9">
      <c r="A183" s="109">
        <v>45357</v>
      </c>
      <c r="B183" s="112">
        <v>159.46</v>
      </c>
      <c r="C183" s="112">
        <v>160.93</v>
      </c>
      <c r="D183" s="112">
        <v>159.22</v>
      </c>
      <c r="E183" s="112">
        <v>159.34</v>
      </c>
      <c r="F183" s="112">
        <v>156.87</v>
      </c>
      <c r="G183" s="113">
        <v>5773700</v>
      </c>
      <c r="H183" s="107">
        <f t="shared" si="2"/>
        <v>-3.9367578893898308E-3</v>
      </c>
      <c r="I183" s="47"/>
    </row>
    <row r="184" spans="1:9">
      <c r="A184" s="109">
        <v>45356</v>
      </c>
      <c r="B184" s="112">
        <v>160.62</v>
      </c>
      <c r="C184" s="112">
        <v>161.24</v>
      </c>
      <c r="D184" s="112">
        <v>159.19999999999999</v>
      </c>
      <c r="E184" s="112">
        <v>159.97</v>
      </c>
      <c r="F184" s="112">
        <v>157.49</v>
      </c>
      <c r="G184" s="113">
        <v>8298200</v>
      </c>
      <c r="H184" s="107">
        <f t="shared" si="2"/>
        <v>8.26131164209427E-4</v>
      </c>
      <c r="I184" s="47"/>
    </row>
    <row r="185" spans="1:9">
      <c r="A185" s="109">
        <v>45355</v>
      </c>
      <c r="B185" s="112">
        <v>161.32</v>
      </c>
      <c r="C185" s="112">
        <v>161.61000000000001</v>
      </c>
      <c r="D185" s="112">
        <v>158.27000000000001</v>
      </c>
      <c r="E185" s="112">
        <v>159.84</v>
      </c>
      <c r="F185" s="112">
        <v>157.36000000000001</v>
      </c>
      <c r="G185" s="113">
        <v>8532900</v>
      </c>
      <c r="H185" s="107">
        <f t="shared" si="2"/>
        <v>-1.4096861098928637E-2</v>
      </c>
      <c r="I185" s="47"/>
    </row>
    <row r="186" spans="1:9">
      <c r="A186" s="109">
        <v>45352</v>
      </c>
      <c r="B186" s="112">
        <v>161.83000000000001</v>
      </c>
      <c r="C186" s="112">
        <v>162.57</v>
      </c>
      <c r="D186" s="112">
        <v>161.09</v>
      </c>
      <c r="E186" s="112">
        <v>162.12</v>
      </c>
      <c r="F186" s="112">
        <v>159.61000000000001</v>
      </c>
      <c r="G186" s="113">
        <v>5668000</v>
      </c>
      <c r="H186" s="107">
        <f t="shared" si="2"/>
        <v>4.5946626384694E-3</v>
      </c>
      <c r="I186" s="47"/>
    </row>
    <row r="187" spans="1:9">
      <c r="A187" s="109">
        <v>45351</v>
      </c>
      <c r="B187" s="112">
        <v>162</v>
      </c>
      <c r="C187" s="112">
        <v>162.19</v>
      </c>
      <c r="D187" s="112">
        <v>160.94</v>
      </c>
      <c r="E187" s="112">
        <v>161.38</v>
      </c>
      <c r="F187" s="112">
        <v>158.88</v>
      </c>
      <c r="G187" s="113">
        <v>9849100</v>
      </c>
      <c r="H187" s="107">
        <f t="shared" si="2"/>
        <v>-1.0688462747564659E-3</v>
      </c>
      <c r="I187" s="47"/>
    </row>
    <row r="188" spans="1:9">
      <c r="A188" s="109">
        <v>45350</v>
      </c>
      <c r="B188" s="112">
        <v>161</v>
      </c>
      <c r="C188" s="112">
        <v>161.61000000000001</v>
      </c>
      <c r="D188" s="112">
        <v>160.29</v>
      </c>
      <c r="E188" s="112">
        <v>161.55000000000001</v>
      </c>
      <c r="F188" s="112">
        <v>159.05000000000001</v>
      </c>
      <c r="G188" s="113">
        <v>6071100</v>
      </c>
      <c r="H188" s="107">
        <f t="shared" si="2"/>
        <v>3.5333459524260345E-3</v>
      </c>
      <c r="I188" s="47"/>
    </row>
    <row r="189" spans="1:9">
      <c r="A189" s="109">
        <v>45349</v>
      </c>
      <c r="B189" s="112">
        <v>160.34</v>
      </c>
      <c r="C189" s="112">
        <v>161.04</v>
      </c>
      <c r="D189" s="112">
        <v>159.63999999999999</v>
      </c>
      <c r="E189" s="112">
        <v>160.97999999999999</v>
      </c>
      <c r="F189" s="112">
        <v>158.49</v>
      </c>
      <c r="G189" s="113">
        <v>5078600</v>
      </c>
      <c r="H189" s="107">
        <f t="shared" si="2"/>
        <v>1.2002526847757278E-3</v>
      </c>
      <c r="I189" s="47"/>
    </row>
    <row r="190" spans="1:9">
      <c r="A190" s="109">
        <v>45348</v>
      </c>
      <c r="B190" s="112">
        <v>161.80000000000001</v>
      </c>
      <c r="C190" s="112">
        <v>162.01</v>
      </c>
      <c r="D190" s="112">
        <v>160.57</v>
      </c>
      <c r="E190" s="112">
        <v>160.79</v>
      </c>
      <c r="F190" s="112">
        <v>158.30000000000001</v>
      </c>
      <c r="G190" s="113">
        <v>5465400</v>
      </c>
      <c r="H190" s="107">
        <f t="shared" si="2"/>
        <v>-6.4645703885018585E-3</v>
      </c>
      <c r="I190" s="47"/>
    </row>
    <row r="191" spans="1:9">
      <c r="A191" s="109">
        <v>45345</v>
      </c>
      <c r="B191" s="112">
        <v>160.88</v>
      </c>
      <c r="C191" s="112">
        <v>162.25</v>
      </c>
      <c r="D191" s="112">
        <v>160.16</v>
      </c>
      <c r="E191" s="112">
        <v>161.84</v>
      </c>
      <c r="F191" s="112">
        <v>159.33000000000001</v>
      </c>
      <c r="G191" s="113">
        <v>6726000</v>
      </c>
      <c r="H191" s="107">
        <f t="shared" si="2"/>
        <v>8.6730817928589807E-3</v>
      </c>
      <c r="I191" s="47"/>
    </row>
    <row r="192" spans="1:9">
      <c r="A192" s="109">
        <v>45344</v>
      </c>
      <c r="B192" s="112">
        <v>158.97999999999999</v>
      </c>
      <c r="C192" s="112">
        <v>160.74</v>
      </c>
      <c r="D192" s="112">
        <v>157.77000000000001</v>
      </c>
      <c r="E192" s="112">
        <v>160.44999999999999</v>
      </c>
      <c r="F192" s="112">
        <v>157.96</v>
      </c>
      <c r="G192" s="113">
        <v>8065000</v>
      </c>
      <c r="H192" s="107">
        <f t="shared" si="2"/>
        <v>1.1138138522596397E-2</v>
      </c>
      <c r="I192" s="47"/>
    </row>
    <row r="193" spans="1:9">
      <c r="A193" s="109">
        <v>45343</v>
      </c>
      <c r="B193" s="112">
        <v>158.02000000000001</v>
      </c>
      <c r="C193" s="112">
        <v>158.69</v>
      </c>
      <c r="D193" s="112">
        <v>157.13</v>
      </c>
      <c r="E193" s="112">
        <v>158.68</v>
      </c>
      <c r="F193" s="112">
        <v>156.22</v>
      </c>
      <c r="G193" s="113">
        <v>7473300</v>
      </c>
      <c r="H193" s="107">
        <f t="shared" si="2"/>
        <v>5.21201981854451E-3</v>
      </c>
      <c r="I193" s="47"/>
    </row>
    <row r="194" spans="1:9">
      <c r="A194" s="109">
        <v>45342</v>
      </c>
      <c r="B194" s="112">
        <v>156.56</v>
      </c>
      <c r="C194" s="112">
        <v>158.61000000000001</v>
      </c>
      <c r="D194" s="112">
        <v>156.44</v>
      </c>
      <c r="E194" s="112">
        <v>157.86000000000001</v>
      </c>
      <c r="F194" s="112">
        <v>155.41</v>
      </c>
      <c r="G194" s="113">
        <v>9501700</v>
      </c>
      <c r="H194" s="107">
        <f t="shared" si="2"/>
        <v>8.3701012198286531E-3</v>
      </c>
      <c r="I194" s="47"/>
    </row>
    <row r="195" spans="1:9">
      <c r="A195" s="109">
        <v>45338</v>
      </c>
      <c r="B195" s="112">
        <v>156.6</v>
      </c>
      <c r="C195" s="112">
        <v>157.26</v>
      </c>
      <c r="D195" s="112">
        <v>155.66999999999999</v>
      </c>
      <c r="E195" s="112">
        <v>156.55000000000001</v>
      </c>
      <c r="F195" s="112">
        <v>154.12</v>
      </c>
      <c r="G195" s="113">
        <v>8540700</v>
      </c>
      <c r="H195" s="107">
        <f t="shared" ref="H195:H258" si="3">(F195-F196)/F196</f>
        <v>-1.1665586519767129E-3</v>
      </c>
      <c r="I195" s="47"/>
    </row>
    <row r="196" spans="1:9">
      <c r="A196" s="109">
        <v>45337</v>
      </c>
      <c r="B196" s="112">
        <v>155.97999999999999</v>
      </c>
      <c r="C196" s="112">
        <v>158.47999999999999</v>
      </c>
      <c r="D196" s="112">
        <v>155.88999999999999</v>
      </c>
      <c r="E196" s="112">
        <v>157.91999999999999</v>
      </c>
      <c r="F196" s="112">
        <v>154.30000000000001</v>
      </c>
      <c r="G196" s="113">
        <v>7462500</v>
      </c>
      <c r="H196" s="107">
        <f t="shared" si="3"/>
        <v>1.3997502792929118E-2</v>
      </c>
      <c r="I196" s="47"/>
    </row>
    <row r="197" spans="1:9">
      <c r="A197" s="109">
        <v>45336</v>
      </c>
      <c r="B197" s="112">
        <v>156.35</v>
      </c>
      <c r="C197" s="112">
        <v>156.46</v>
      </c>
      <c r="D197" s="112">
        <v>154.84</v>
      </c>
      <c r="E197" s="112">
        <v>155.74</v>
      </c>
      <c r="F197" s="112">
        <v>152.16999999999999</v>
      </c>
      <c r="G197" s="113">
        <v>9098800</v>
      </c>
      <c r="H197" s="107">
        <f t="shared" si="3"/>
        <v>-4.7092681012492572E-3</v>
      </c>
      <c r="I197" s="47"/>
    </row>
    <row r="198" spans="1:9">
      <c r="A198" s="109">
        <v>45335</v>
      </c>
      <c r="B198" s="112">
        <v>157.63999999999999</v>
      </c>
      <c r="C198" s="112">
        <v>158.44999999999999</v>
      </c>
      <c r="D198" s="112">
        <v>155.75</v>
      </c>
      <c r="E198" s="112">
        <v>156.47</v>
      </c>
      <c r="F198" s="112">
        <v>152.88999999999999</v>
      </c>
      <c r="G198" s="113">
        <v>8621000</v>
      </c>
      <c r="H198" s="107">
        <f t="shared" si="3"/>
        <v>-8.6883226350256346E-3</v>
      </c>
      <c r="I198" s="47"/>
    </row>
    <row r="199" spans="1:9">
      <c r="A199" s="109">
        <v>45334</v>
      </c>
      <c r="B199" s="112">
        <v>156.58000000000001</v>
      </c>
      <c r="C199" s="112">
        <v>158.41</v>
      </c>
      <c r="D199" s="112">
        <v>156.35</v>
      </c>
      <c r="E199" s="112">
        <v>157.85</v>
      </c>
      <c r="F199" s="112">
        <v>154.22999999999999</v>
      </c>
      <c r="G199" s="113">
        <v>6701500</v>
      </c>
      <c r="H199" s="107">
        <f t="shared" si="3"/>
        <v>6.9204152249135106E-3</v>
      </c>
      <c r="I199" s="47"/>
    </row>
    <row r="200" spans="1:9">
      <c r="A200" s="109">
        <v>45331</v>
      </c>
      <c r="B200" s="112">
        <v>156.27000000000001</v>
      </c>
      <c r="C200" s="112">
        <v>157.19999999999999</v>
      </c>
      <c r="D200" s="112">
        <v>155.66999999999999</v>
      </c>
      <c r="E200" s="112">
        <v>156.76</v>
      </c>
      <c r="F200" s="112">
        <v>153.16999999999999</v>
      </c>
      <c r="G200" s="113">
        <v>6529200</v>
      </c>
      <c r="H200" s="107">
        <f t="shared" si="3"/>
        <v>2.2902761418662106E-3</v>
      </c>
      <c r="I200" s="47"/>
    </row>
    <row r="201" spans="1:9">
      <c r="A201" s="109">
        <v>45330</v>
      </c>
      <c r="B201" s="112">
        <v>157.34</v>
      </c>
      <c r="C201" s="112">
        <v>157.34</v>
      </c>
      <c r="D201" s="112">
        <v>155.31</v>
      </c>
      <c r="E201" s="112">
        <v>156.4</v>
      </c>
      <c r="F201" s="112">
        <v>152.82</v>
      </c>
      <c r="G201" s="113">
        <v>9755000</v>
      </c>
      <c r="H201" s="107">
        <f t="shared" si="3"/>
        <v>-9.976677895828066E-3</v>
      </c>
      <c r="I201" s="47"/>
    </row>
    <row r="202" spans="1:9">
      <c r="A202" s="109">
        <v>45329</v>
      </c>
      <c r="B202" s="112">
        <v>157.80000000000001</v>
      </c>
      <c r="C202" s="112">
        <v>159.37</v>
      </c>
      <c r="D202" s="112">
        <v>157.69</v>
      </c>
      <c r="E202" s="112">
        <v>157.97999999999999</v>
      </c>
      <c r="F202" s="112">
        <v>154.36000000000001</v>
      </c>
      <c r="G202" s="113">
        <v>8690300</v>
      </c>
      <c r="H202" s="107">
        <f t="shared" si="3"/>
        <v>-5.1800051800041493E-4</v>
      </c>
      <c r="I202" s="47"/>
    </row>
    <row r="203" spans="1:9">
      <c r="A203" s="109">
        <v>45328</v>
      </c>
      <c r="B203" s="112">
        <v>155.83000000000001</v>
      </c>
      <c r="C203" s="112">
        <v>158.72999999999999</v>
      </c>
      <c r="D203" s="112">
        <v>155.6</v>
      </c>
      <c r="E203" s="112">
        <v>158.06</v>
      </c>
      <c r="F203" s="112">
        <v>154.44</v>
      </c>
      <c r="G203" s="113">
        <v>9229900</v>
      </c>
      <c r="H203" s="107">
        <f t="shared" si="3"/>
        <v>1.451750640478229E-2</v>
      </c>
      <c r="I203" s="47"/>
    </row>
    <row r="204" spans="1:9">
      <c r="A204" s="109">
        <v>45327</v>
      </c>
      <c r="B204" s="112">
        <v>156.61000000000001</v>
      </c>
      <c r="C204" s="112">
        <v>156.88999999999999</v>
      </c>
      <c r="D204" s="112">
        <v>155.34</v>
      </c>
      <c r="E204" s="112">
        <v>155.80000000000001</v>
      </c>
      <c r="F204" s="112">
        <v>152.22999999999999</v>
      </c>
      <c r="G204" s="113">
        <v>9121600</v>
      </c>
      <c r="H204" s="107">
        <f t="shared" si="3"/>
        <v>-5.1627238269508586E-3</v>
      </c>
      <c r="I204" s="47"/>
    </row>
    <row r="205" spans="1:9">
      <c r="A205" s="109">
        <v>45324</v>
      </c>
      <c r="B205" s="112">
        <v>157.97</v>
      </c>
      <c r="C205" s="112">
        <v>158.31</v>
      </c>
      <c r="D205" s="112">
        <v>155.94</v>
      </c>
      <c r="E205" s="112">
        <v>156.61000000000001</v>
      </c>
      <c r="F205" s="112">
        <v>153.02000000000001</v>
      </c>
      <c r="G205" s="113">
        <v>8295500</v>
      </c>
      <c r="H205" s="107">
        <f t="shared" si="3"/>
        <v>-1.1051509080333352E-2</v>
      </c>
      <c r="I205" s="47"/>
    </row>
    <row r="206" spans="1:9">
      <c r="A206" s="109">
        <v>45323</v>
      </c>
      <c r="B206" s="112">
        <v>158.16</v>
      </c>
      <c r="C206" s="112">
        <v>158.49</v>
      </c>
      <c r="D206" s="112">
        <v>157.05000000000001</v>
      </c>
      <c r="E206" s="112">
        <v>158.36000000000001</v>
      </c>
      <c r="F206" s="112">
        <v>154.72999999999999</v>
      </c>
      <c r="G206" s="113">
        <v>8012000</v>
      </c>
      <c r="H206" s="107">
        <f t="shared" si="3"/>
        <v>-3.4136287517712301E-3</v>
      </c>
      <c r="I206" s="47"/>
    </row>
    <row r="207" spans="1:9">
      <c r="A207" s="109">
        <v>45322</v>
      </c>
      <c r="B207" s="112">
        <v>160.4</v>
      </c>
      <c r="C207" s="112">
        <v>160.62</v>
      </c>
      <c r="D207" s="112">
        <v>158.66999999999999</v>
      </c>
      <c r="E207" s="112">
        <v>158.9</v>
      </c>
      <c r="F207" s="112">
        <v>155.26</v>
      </c>
      <c r="G207" s="113">
        <v>8256800</v>
      </c>
      <c r="H207" s="107">
        <f t="shared" si="3"/>
        <v>8.3800683297876265E-4</v>
      </c>
      <c r="I207" s="47"/>
    </row>
    <row r="208" spans="1:9">
      <c r="A208" s="109">
        <v>45321</v>
      </c>
      <c r="B208" s="112">
        <v>159.35</v>
      </c>
      <c r="C208" s="112">
        <v>159.76</v>
      </c>
      <c r="D208" s="112">
        <v>158.13</v>
      </c>
      <c r="E208" s="112">
        <v>158.77000000000001</v>
      </c>
      <c r="F208" s="112">
        <v>155.13</v>
      </c>
      <c r="G208" s="113">
        <v>7200500</v>
      </c>
      <c r="H208" s="107">
        <f t="shared" si="3"/>
        <v>-3.7248731616467308E-3</v>
      </c>
      <c r="I208" s="47"/>
    </row>
    <row r="209" spans="1:9">
      <c r="A209" s="109">
        <v>45320</v>
      </c>
      <c r="B209" s="112">
        <v>159.01</v>
      </c>
      <c r="C209" s="112">
        <v>160.07</v>
      </c>
      <c r="D209" s="112">
        <v>158.96</v>
      </c>
      <c r="E209" s="112">
        <v>159.36000000000001</v>
      </c>
      <c r="F209" s="112">
        <v>155.71</v>
      </c>
      <c r="G209" s="113">
        <v>6483200</v>
      </c>
      <c r="H209" s="107">
        <f t="shared" si="3"/>
        <v>-8.9829964709647967E-4</v>
      </c>
      <c r="I209" s="47"/>
    </row>
    <row r="210" spans="1:9">
      <c r="A210" s="109">
        <v>45317</v>
      </c>
      <c r="B210" s="112">
        <v>160.43</v>
      </c>
      <c r="C210" s="112">
        <v>160.74</v>
      </c>
      <c r="D210" s="112">
        <v>159.36000000000001</v>
      </c>
      <c r="E210" s="112">
        <v>159.5</v>
      </c>
      <c r="F210" s="112">
        <v>155.85</v>
      </c>
      <c r="G210" s="113">
        <v>5591900</v>
      </c>
      <c r="H210" s="107">
        <f t="shared" si="3"/>
        <v>-3.2071840923676308E-4</v>
      </c>
      <c r="I210" s="47"/>
    </row>
    <row r="211" spans="1:9">
      <c r="A211" s="109">
        <v>45316</v>
      </c>
      <c r="B211" s="112">
        <v>159</v>
      </c>
      <c r="C211" s="112">
        <v>159.62</v>
      </c>
      <c r="D211" s="112">
        <v>158.47</v>
      </c>
      <c r="E211" s="112">
        <v>159.56</v>
      </c>
      <c r="F211" s="112">
        <v>155.9</v>
      </c>
      <c r="G211" s="113">
        <v>5478900</v>
      </c>
      <c r="H211" s="107">
        <f t="shared" si="3"/>
        <v>3.734226113829594E-3</v>
      </c>
      <c r="I211" s="47"/>
    </row>
    <row r="212" spans="1:9">
      <c r="A212" s="109">
        <v>45315</v>
      </c>
      <c r="B212" s="112">
        <v>159.75</v>
      </c>
      <c r="C212" s="112">
        <v>160.6</v>
      </c>
      <c r="D212" s="112">
        <v>158.16</v>
      </c>
      <c r="E212" s="112">
        <v>158.96</v>
      </c>
      <c r="F212" s="112">
        <v>155.32</v>
      </c>
      <c r="G212" s="113">
        <v>7247900</v>
      </c>
      <c r="H212" s="107">
        <f t="shared" si="3"/>
        <v>-5.3154018571886803E-3</v>
      </c>
      <c r="I212" s="47"/>
    </row>
    <row r="213" spans="1:9">
      <c r="A213" s="109">
        <v>45314</v>
      </c>
      <c r="B213" s="112">
        <v>159.66</v>
      </c>
      <c r="C213" s="112">
        <v>160.51</v>
      </c>
      <c r="D213" s="112">
        <v>156.91</v>
      </c>
      <c r="E213" s="112">
        <v>159.81</v>
      </c>
      <c r="F213" s="112">
        <v>156.15</v>
      </c>
      <c r="G213" s="113">
        <v>9149800</v>
      </c>
      <c r="H213" s="107">
        <f t="shared" si="3"/>
        <v>-1.6377952755905475E-2</v>
      </c>
      <c r="I213" s="47"/>
    </row>
    <row r="214" spans="1:9">
      <c r="A214" s="109">
        <v>45313</v>
      </c>
      <c r="B214" s="112">
        <v>162</v>
      </c>
      <c r="C214" s="112">
        <v>163.58000000000001</v>
      </c>
      <c r="D214" s="112">
        <v>161.34</v>
      </c>
      <c r="E214" s="112">
        <v>162.47</v>
      </c>
      <c r="F214" s="112">
        <v>158.75</v>
      </c>
      <c r="G214" s="113">
        <v>6824200</v>
      </c>
      <c r="H214" s="107">
        <f t="shared" si="3"/>
        <v>4.8740346879352471E-3</v>
      </c>
      <c r="I214" s="47"/>
    </row>
    <row r="215" spans="1:9">
      <c r="A215" s="109">
        <v>45310</v>
      </c>
      <c r="B215" s="112">
        <v>161.15</v>
      </c>
      <c r="C215" s="112">
        <v>161.91999999999999</v>
      </c>
      <c r="D215" s="112">
        <v>160.28</v>
      </c>
      <c r="E215" s="112">
        <v>161.68</v>
      </c>
      <c r="F215" s="112">
        <v>157.97999999999999</v>
      </c>
      <c r="G215" s="113">
        <v>7055800</v>
      </c>
      <c r="H215" s="107">
        <f t="shared" si="3"/>
        <v>2.9202640934483208E-3</v>
      </c>
      <c r="I215" s="47"/>
    </row>
    <row r="216" spans="1:9">
      <c r="A216" s="109">
        <v>45309</v>
      </c>
      <c r="B216" s="112">
        <v>160</v>
      </c>
      <c r="C216" s="112">
        <v>161.37</v>
      </c>
      <c r="D216" s="112">
        <v>159.69</v>
      </c>
      <c r="E216" s="112">
        <v>161.21</v>
      </c>
      <c r="F216" s="112">
        <v>157.52000000000001</v>
      </c>
      <c r="G216" s="113">
        <v>5368500</v>
      </c>
      <c r="H216" s="107">
        <f t="shared" si="3"/>
        <v>4.9122807017544512E-3</v>
      </c>
      <c r="I216" s="47"/>
    </row>
    <row r="217" spans="1:9">
      <c r="A217" s="109">
        <v>45308</v>
      </c>
      <c r="B217" s="112">
        <v>160.25</v>
      </c>
      <c r="C217" s="112">
        <v>161.30000000000001</v>
      </c>
      <c r="D217" s="112">
        <v>159.87</v>
      </c>
      <c r="E217" s="112">
        <v>160.43</v>
      </c>
      <c r="F217" s="112">
        <v>156.75</v>
      </c>
      <c r="G217" s="113">
        <v>5072100</v>
      </c>
      <c r="H217" s="107">
        <f t="shared" si="3"/>
        <v>-5.7383320581486487E-4</v>
      </c>
      <c r="I217" s="47"/>
    </row>
    <row r="218" spans="1:9">
      <c r="A218" s="109">
        <v>45307</v>
      </c>
      <c r="B218" s="112">
        <v>161.57</v>
      </c>
      <c r="C218" s="112">
        <v>162.25</v>
      </c>
      <c r="D218" s="112">
        <v>160.18</v>
      </c>
      <c r="E218" s="112">
        <v>160.52000000000001</v>
      </c>
      <c r="F218" s="112">
        <v>156.84</v>
      </c>
      <c r="G218" s="113">
        <v>6923200</v>
      </c>
      <c r="H218" s="107">
        <f t="shared" si="3"/>
        <v>-1.1533371147664865E-2</v>
      </c>
      <c r="I218" s="47"/>
    </row>
    <row r="219" spans="1:9">
      <c r="A219" s="109">
        <v>45303</v>
      </c>
      <c r="B219" s="112">
        <v>161.84</v>
      </c>
      <c r="C219" s="112">
        <v>162.47</v>
      </c>
      <c r="D219" s="112">
        <v>161.69</v>
      </c>
      <c r="E219" s="112">
        <v>162.38999999999999</v>
      </c>
      <c r="F219" s="112">
        <v>158.66999999999999</v>
      </c>
      <c r="G219" s="113">
        <v>4496500</v>
      </c>
      <c r="H219" s="107">
        <f t="shared" si="3"/>
        <v>7.6844912993774897E-3</v>
      </c>
      <c r="I219" s="47"/>
    </row>
    <row r="220" spans="1:9">
      <c r="A220" s="109">
        <v>45302</v>
      </c>
      <c r="B220" s="112">
        <v>162.07</v>
      </c>
      <c r="C220" s="112">
        <v>162.19999999999999</v>
      </c>
      <c r="D220" s="112">
        <v>160.78</v>
      </c>
      <c r="E220" s="112">
        <v>161.15</v>
      </c>
      <c r="F220" s="112">
        <v>157.46</v>
      </c>
      <c r="G220" s="113">
        <v>4946000</v>
      </c>
      <c r="H220" s="107">
        <f t="shared" si="3"/>
        <v>-4.4258978249872832E-3</v>
      </c>
      <c r="I220" s="47"/>
    </row>
    <row r="221" spans="1:9">
      <c r="A221" s="109">
        <v>45301</v>
      </c>
      <c r="B221" s="112">
        <v>161.82</v>
      </c>
      <c r="C221" s="112">
        <v>162.62</v>
      </c>
      <c r="D221" s="112">
        <v>161.19999999999999</v>
      </c>
      <c r="E221" s="112">
        <v>161.87</v>
      </c>
      <c r="F221" s="112">
        <v>158.16</v>
      </c>
      <c r="G221" s="113">
        <v>4945100</v>
      </c>
      <c r="H221" s="107">
        <f t="shared" si="3"/>
        <v>1.4563414170834532E-3</v>
      </c>
      <c r="I221" s="47"/>
    </row>
    <row r="222" spans="1:9">
      <c r="A222" s="109">
        <v>45300</v>
      </c>
      <c r="B222" s="112">
        <v>161.63</v>
      </c>
      <c r="C222" s="112">
        <v>163.28</v>
      </c>
      <c r="D222" s="112">
        <v>160.6</v>
      </c>
      <c r="E222" s="112">
        <v>161.63</v>
      </c>
      <c r="F222" s="112">
        <v>157.93</v>
      </c>
      <c r="G222" s="113">
        <v>6357000</v>
      </c>
      <c r="H222" s="107">
        <f t="shared" si="3"/>
        <v>6.3359310650696514E-4</v>
      </c>
      <c r="I222" s="47"/>
    </row>
    <row r="223" spans="1:9">
      <c r="A223" s="109">
        <v>45299</v>
      </c>
      <c r="B223" s="112">
        <v>161.1</v>
      </c>
      <c r="C223" s="112">
        <v>161.66</v>
      </c>
      <c r="D223" s="112">
        <v>159.61000000000001</v>
      </c>
      <c r="E223" s="112">
        <v>161.53</v>
      </c>
      <c r="F223" s="112">
        <v>157.83000000000001</v>
      </c>
      <c r="G223" s="113">
        <v>6569800</v>
      </c>
      <c r="H223" s="107">
        <f t="shared" si="3"/>
        <v>2.4771341463415571E-3</v>
      </c>
      <c r="I223" s="47"/>
    </row>
    <row r="224" spans="1:9">
      <c r="A224" s="109">
        <v>45296</v>
      </c>
      <c r="B224" s="112">
        <v>160.5</v>
      </c>
      <c r="C224" s="112">
        <v>161.34</v>
      </c>
      <c r="D224" s="112">
        <v>159.47</v>
      </c>
      <c r="E224" s="112">
        <v>161.13</v>
      </c>
      <c r="F224" s="112">
        <v>157.44</v>
      </c>
      <c r="G224" s="113">
        <v>5602500</v>
      </c>
      <c r="H224" s="107">
        <f t="shared" si="3"/>
        <v>3.1220133800574012E-3</v>
      </c>
      <c r="I224" s="47"/>
    </row>
    <row r="225" spans="1:9">
      <c r="A225" s="109">
        <v>45295</v>
      </c>
      <c r="B225" s="112">
        <v>161.59</v>
      </c>
      <c r="C225" s="112">
        <v>161.97999999999999</v>
      </c>
      <c r="D225" s="112">
        <v>160.41999999999999</v>
      </c>
      <c r="E225" s="112">
        <v>160.63</v>
      </c>
      <c r="F225" s="112">
        <v>156.94999999999999</v>
      </c>
      <c r="G225" s="113">
        <v>6766600</v>
      </c>
      <c r="H225" s="107">
        <f t="shared" si="3"/>
        <v>-2.0981688708037417E-3</v>
      </c>
      <c r="I225" s="47"/>
    </row>
    <row r="226" spans="1:9">
      <c r="A226" s="109">
        <v>45294</v>
      </c>
      <c r="B226" s="112">
        <v>160.63999999999999</v>
      </c>
      <c r="C226" s="112">
        <v>161.44</v>
      </c>
      <c r="D226" s="112">
        <v>159.80000000000001</v>
      </c>
      <c r="E226" s="112">
        <v>160.97</v>
      </c>
      <c r="F226" s="112">
        <v>157.28</v>
      </c>
      <c r="G226" s="113">
        <v>8232000</v>
      </c>
      <c r="H226" s="107">
        <f t="shared" si="3"/>
        <v>6.2056170430554594E-3</v>
      </c>
      <c r="I226" s="47"/>
    </row>
    <row r="227" spans="1:9">
      <c r="A227" s="109">
        <v>45293</v>
      </c>
      <c r="B227" s="112">
        <v>156.93</v>
      </c>
      <c r="C227" s="112">
        <v>161.63999999999999</v>
      </c>
      <c r="D227" s="112">
        <v>156.79</v>
      </c>
      <c r="E227" s="112">
        <v>159.97</v>
      </c>
      <c r="F227" s="112">
        <v>156.31</v>
      </c>
      <c r="G227" s="113">
        <v>9622100</v>
      </c>
      <c r="H227" s="107">
        <f t="shared" si="3"/>
        <v>2.0633365981064293E-2</v>
      </c>
      <c r="I227" s="47"/>
    </row>
    <row r="228" spans="1:9">
      <c r="A228" s="109">
        <v>45289</v>
      </c>
      <c r="B228" s="112">
        <v>156.51</v>
      </c>
      <c r="C228" s="112">
        <v>156.9</v>
      </c>
      <c r="D228" s="112">
        <v>155.97999999999999</v>
      </c>
      <c r="E228" s="112">
        <v>156.74</v>
      </c>
      <c r="F228" s="112">
        <v>153.15</v>
      </c>
      <c r="G228" s="113">
        <v>4311100</v>
      </c>
      <c r="H228" s="107">
        <f t="shared" si="3"/>
        <v>1.0458199882345028E-3</v>
      </c>
      <c r="I228" s="47"/>
    </row>
    <row r="229" spans="1:9">
      <c r="A229" s="109">
        <v>45288</v>
      </c>
      <c r="B229" s="112">
        <v>156</v>
      </c>
      <c r="C229" s="112">
        <v>157.24</v>
      </c>
      <c r="D229" s="112">
        <v>155.99</v>
      </c>
      <c r="E229" s="112">
        <v>156.58000000000001</v>
      </c>
      <c r="F229" s="112">
        <v>152.99</v>
      </c>
      <c r="G229" s="113">
        <v>4377500</v>
      </c>
      <c r="H229" s="107">
        <f t="shared" si="3"/>
        <v>1.4400733128231908E-3</v>
      </c>
      <c r="I229" s="47"/>
    </row>
    <row r="230" spans="1:9">
      <c r="A230" s="109">
        <v>45287</v>
      </c>
      <c r="B230" s="112">
        <v>155.5</v>
      </c>
      <c r="C230" s="112">
        <v>156.52000000000001</v>
      </c>
      <c r="D230" s="112">
        <v>155.41999999999999</v>
      </c>
      <c r="E230" s="112">
        <v>156.35</v>
      </c>
      <c r="F230" s="112">
        <v>152.77000000000001</v>
      </c>
      <c r="G230" s="113">
        <v>5288100</v>
      </c>
      <c r="H230" s="107">
        <f t="shared" si="3"/>
        <v>1.3765076035658623E-3</v>
      </c>
      <c r="I230" s="47"/>
    </row>
    <row r="231" spans="1:9">
      <c r="A231" s="109">
        <v>45286</v>
      </c>
      <c r="B231" s="112">
        <v>155</v>
      </c>
      <c r="C231" s="112">
        <v>156.35</v>
      </c>
      <c r="D231" s="112">
        <v>154.85</v>
      </c>
      <c r="E231" s="112">
        <v>156.13999999999999</v>
      </c>
      <c r="F231" s="112">
        <v>152.56</v>
      </c>
      <c r="G231" s="113">
        <v>4170000</v>
      </c>
      <c r="H231" s="107">
        <f t="shared" si="3"/>
        <v>4.3449637919683775E-3</v>
      </c>
      <c r="I231" s="47"/>
    </row>
    <row r="232" spans="1:9">
      <c r="A232" s="109">
        <v>45282</v>
      </c>
      <c r="B232" s="112">
        <v>155.25</v>
      </c>
      <c r="C232" s="112">
        <v>156.53</v>
      </c>
      <c r="D232" s="112">
        <v>155.02000000000001</v>
      </c>
      <c r="E232" s="112">
        <v>155.46</v>
      </c>
      <c r="F232" s="112">
        <v>151.9</v>
      </c>
      <c r="G232" s="113">
        <v>3798500</v>
      </c>
      <c r="H232" s="107">
        <f t="shared" si="3"/>
        <v>4.03199153942768E-3</v>
      </c>
      <c r="I232" s="47"/>
    </row>
    <row r="233" spans="1:9">
      <c r="A233" s="109">
        <v>45281</v>
      </c>
      <c r="B233" s="112">
        <v>153.69</v>
      </c>
      <c r="C233" s="112">
        <v>155.13</v>
      </c>
      <c r="D233" s="112">
        <v>153.30000000000001</v>
      </c>
      <c r="E233" s="112">
        <v>154.84</v>
      </c>
      <c r="F233" s="112">
        <v>151.29</v>
      </c>
      <c r="G233" s="113">
        <v>4598600</v>
      </c>
      <c r="H233" s="107">
        <f t="shared" si="3"/>
        <v>1.0216346153846163E-2</v>
      </c>
      <c r="I233" s="47"/>
    </row>
    <row r="234" spans="1:9">
      <c r="A234" s="109">
        <v>45280</v>
      </c>
      <c r="B234" s="112">
        <v>156.54</v>
      </c>
      <c r="C234" s="112">
        <v>156.66</v>
      </c>
      <c r="D234" s="112">
        <v>153.11000000000001</v>
      </c>
      <c r="E234" s="112">
        <v>153.27000000000001</v>
      </c>
      <c r="F234" s="112">
        <v>149.76</v>
      </c>
      <c r="G234" s="113">
        <v>7008300</v>
      </c>
      <c r="H234" s="107">
        <f t="shared" si="3"/>
        <v>-2.0408163265306152E-2</v>
      </c>
      <c r="I234" s="47"/>
    </row>
    <row r="235" spans="1:9">
      <c r="A235" s="109">
        <v>45279</v>
      </c>
      <c r="B235" s="112">
        <v>155.30000000000001</v>
      </c>
      <c r="C235" s="112">
        <v>156.5</v>
      </c>
      <c r="D235" s="112">
        <v>154.94</v>
      </c>
      <c r="E235" s="112">
        <v>156.46</v>
      </c>
      <c r="F235" s="112">
        <v>152.88</v>
      </c>
      <c r="G235" s="113">
        <v>6651500</v>
      </c>
      <c r="H235" s="107">
        <f t="shared" si="3"/>
        <v>6.5841453779299447E-3</v>
      </c>
      <c r="I235" s="47"/>
    </row>
    <row r="236" spans="1:9">
      <c r="A236" s="109">
        <v>45278</v>
      </c>
      <c r="B236" s="112">
        <v>155.21</v>
      </c>
      <c r="C236" s="112">
        <v>156.44</v>
      </c>
      <c r="D236" s="112">
        <v>154.76</v>
      </c>
      <c r="E236" s="112">
        <v>155.44</v>
      </c>
      <c r="F236" s="112">
        <v>151.88</v>
      </c>
      <c r="G236" s="113">
        <v>7231400</v>
      </c>
      <c r="H236" s="107">
        <f t="shared" si="3"/>
        <v>1.7808851658860352E-3</v>
      </c>
      <c r="I236" s="47"/>
    </row>
    <row r="237" spans="1:9">
      <c r="A237" s="109">
        <v>45275</v>
      </c>
      <c r="B237" s="112">
        <v>155.49</v>
      </c>
      <c r="C237" s="112">
        <v>156.69</v>
      </c>
      <c r="D237" s="112">
        <v>153.76</v>
      </c>
      <c r="E237" s="112">
        <v>155.16</v>
      </c>
      <c r="F237" s="112">
        <v>151.61000000000001</v>
      </c>
      <c r="G237" s="113">
        <v>21712500</v>
      </c>
      <c r="H237" s="107">
        <f t="shared" si="3"/>
        <v>-1.0895093945720169E-2</v>
      </c>
      <c r="I237" s="47"/>
    </row>
    <row r="238" spans="1:9">
      <c r="A238" s="109">
        <v>45274</v>
      </c>
      <c r="B238" s="112">
        <v>156.47</v>
      </c>
      <c r="C238" s="112">
        <v>157.16</v>
      </c>
      <c r="D238" s="112">
        <v>155.05000000000001</v>
      </c>
      <c r="E238" s="112">
        <v>156.87</v>
      </c>
      <c r="F238" s="112">
        <v>153.28</v>
      </c>
      <c r="G238" s="113">
        <v>9240700</v>
      </c>
      <c r="H238" s="107">
        <f t="shared" si="3"/>
        <v>6.9636053081067028E-3</v>
      </c>
      <c r="I238" s="47"/>
    </row>
    <row r="239" spans="1:9">
      <c r="A239" s="109">
        <v>45273</v>
      </c>
      <c r="B239" s="112">
        <v>153.66</v>
      </c>
      <c r="C239" s="112">
        <v>155.94</v>
      </c>
      <c r="D239" s="112">
        <v>151.77000000000001</v>
      </c>
      <c r="E239" s="112">
        <v>155.79</v>
      </c>
      <c r="F239" s="112">
        <v>152.22</v>
      </c>
      <c r="G239" s="113">
        <v>10764600</v>
      </c>
      <c r="H239" s="107">
        <f t="shared" si="3"/>
        <v>4.6198521647306534E-3</v>
      </c>
      <c r="I239" s="47"/>
    </row>
    <row r="240" spans="1:9">
      <c r="A240" s="109">
        <v>45272</v>
      </c>
      <c r="B240" s="112">
        <v>155</v>
      </c>
      <c r="C240" s="112">
        <v>155.32</v>
      </c>
      <c r="D240" s="112">
        <v>153.65</v>
      </c>
      <c r="E240" s="112">
        <v>155.07</v>
      </c>
      <c r="F240" s="112">
        <v>151.52000000000001</v>
      </c>
      <c r="G240" s="113">
        <v>5324400</v>
      </c>
      <c r="H240" s="107">
        <f t="shared" si="3"/>
        <v>6.6002244076426153E-5</v>
      </c>
      <c r="I240" s="47"/>
    </row>
    <row r="241" spans="1:9">
      <c r="A241" s="109">
        <v>45271</v>
      </c>
      <c r="B241" s="112">
        <v>154.5</v>
      </c>
      <c r="C241" s="112">
        <v>155.47999999999999</v>
      </c>
      <c r="D241" s="112">
        <v>154.35</v>
      </c>
      <c r="E241" s="112">
        <v>155.06</v>
      </c>
      <c r="F241" s="112">
        <v>151.51</v>
      </c>
      <c r="G241" s="113">
        <v>6090400</v>
      </c>
      <c r="H241" s="107">
        <f t="shared" si="3"/>
        <v>4.1755037115588246E-3</v>
      </c>
      <c r="I241" s="47"/>
    </row>
    <row r="242" spans="1:9">
      <c r="A242" s="109">
        <v>45268</v>
      </c>
      <c r="B242" s="112">
        <v>155.41999999999999</v>
      </c>
      <c r="C242" s="112">
        <v>155.85</v>
      </c>
      <c r="D242" s="112">
        <v>153.84</v>
      </c>
      <c r="E242" s="112">
        <v>154.41999999999999</v>
      </c>
      <c r="F242" s="112">
        <v>150.88</v>
      </c>
      <c r="G242" s="113">
        <v>6253700</v>
      </c>
      <c r="H242" s="107">
        <f t="shared" si="3"/>
        <v>-6.3224446786091142E-3</v>
      </c>
      <c r="I242" s="47"/>
    </row>
    <row r="243" spans="1:9">
      <c r="A243" s="109">
        <v>45267</v>
      </c>
      <c r="B243" s="112">
        <v>156.58000000000001</v>
      </c>
      <c r="C243" s="112">
        <v>156.58000000000001</v>
      </c>
      <c r="D243" s="112">
        <v>154.71</v>
      </c>
      <c r="E243" s="112">
        <v>155.4</v>
      </c>
      <c r="F243" s="112">
        <v>151.84</v>
      </c>
      <c r="G243" s="113">
        <v>6532400</v>
      </c>
      <c r="H243" s="107">
        <f t="shared" si="3"/>
        <v>-7.7762530222831973E-3</v>
      </c>
      <c r="I243" s="47"/>
    </row>
    <row r="244" spans="1:9">
      <c r="A244" s="109">
        <v>45266</v>
      </c>
      <c r="B244" s="112">
        <v>158.52000000000001</v>
      </c>
      <c r="C244" s="112">
        <v>158.66</v>
      </c>
      <c r="D244" s="112">
        <v>156.16999999999999</v>
      </c>
      <c r="E244" s="112">
        <v>156.62</v>
      </c>
      <c r="F244" s="112">
        <v>153.03</v>
      </c>
      <c r="G244" s="113">
        <v>6642900</v>
      </c>
      <c r="H244" s="107">
        <f t="shared" si="3"/>
        <v>-1.2199845081332213E-2</v>
      </c>
      <c r="I244" s="47"/>
    </row>
    <row r="245" spans="1:9">
      <c r="A245" s="109">
        <v>45265</v>
      </c>
      <c r="B245" s="112">
        <v>158.80000000000001</v>
      </c>
      <c r="C245" s="112">
        <v>159.63</v>
      </c>
      <c r="D245" s="112">
        <v>158.22</v>
      </c>
      <c r="E245" s="112">
        <v>158.55000000000001</v>
      </c>
      <c r="F245" s="112">
        <v>154.91999999999999</v>
      </c>
      <c r="G245" s="113">
        <v>7268200</v>
      </c>
      <c r="H245" s="107">
        <f t="shared" si="3"/>
        <v>-2.0613244009277348E-3</v>
      </c>
      <c r="I245" s="47"/>
    </row>
    <row r="246" spans="1:9">
      <c r="A246" s="109">
        <v>45264</v>
      </c>
      <c r="B246" s="112">
        <v>158</v>
      </c>
      <c r="C246" s="112">
        <v>160.02000000000001</v>
      </c>
      <c r="D246" s="112">
        <v>158</v>
      </c>
      <c r="E246" s="112">
        <v>158.88</v>
      </c>
      <c r="F246" s="112">
        <v>155.24</v>
      </c>
      <c r="G246" s="113">
        <v>8920300</v>
      </c>
      <c r="H246" s="107">
        <f t="shared" si="3"/>
        <v>3.1663974151858424E-3</v>
      </c>
      <c r="I246" s="47"/>
    </row>
    <row r="247" spans="1:9">
      <c r="A247" s="109">
        <v>45261</v>
      </c>
      <c r="B247" s="112">
        <v>156.44</v>
      </c>
      <c r="C247" s="112">
        <v>158.46</v>
      </c>
      <c r="D247" s="112">
        <v>155.47</v>
      </c>
      <c r="E247" s="112">
        <v>158.38</v>
      </c>
      <c r="F247" s="112">
        <v>154.75</v>
      </c>
      <c r="G247" s="113">
        <v>10342500</v>
      </c>
      <c r="H247" s="107">
        <f t="shared" si="3"/>
        <v>2.4020645844362067E-2</v>
      </c>
      <c r="I247" s="47"/>
    </row>
    <row r="248" spans="1:9">
      <c r="A248" s="109">
        <v>45260</v>
      </c>
      <c r="B248" s="112">
        <v>152.26</v>
      </c>
      <c r="C248" s="112">
        <v>155.13999999999999</v>
      </c>
      <c r="D248" s="112">
        <v>151.91999999999999</v>
      </c>
      <c r="E248" s="112">
        <v>154.66</v>
      </c>
      <c r="F248" s="112">
        <v>151.12</v>
      </c>
      <c r="G248" s="113">
        <v>12481900</v>
      </c>
      <c r="H248" s="107">
        <f t="shared" si="3"/>
        <v>1.6753010832268111E-2</v>
      </c>
      <c r="I248" s="47"/>
    </row>
    <row r="249" spans="1:9">
      <c r="A249" s="109">
        <v>45259</v>
      </c>
      <c r="B249" s="112">
        <v>151.33000000000001</v>
      </c>
      <c r="C249" s="112">
        <v>152.19999999999999</v>
      </c>
      <c r="D249" s="112">
        <v>151.07</v>
      </c>
      <c r="E249" s="112">
        <v>152.11000000000001</v>
      </c>
      <c r="F249" s="112">
        <v>148.63</v>
      </c>
      <c r="G249" s="113">
        <v>5190000</v>
      </c>
      <c r="H249" s="107">
        <f t="shared" si="3"/>
        <v>3.172246220302368E-3</v>
      </c>
      <c r="I249" s="47"/>
    </row>
    <row r="250" spans="1:9">
      <c r="A250" s="109">
        <v>45258</v>
      </c>
      <c r="B250" s="112">
        <v>151.4</v>
      </c>
      <c r="C250" s="112">
        <v>151.81</v>
      </c>
      <c r="D250" s="112">
        <v>150.84</v>
      </c>
      <c r="E250" s="112">
        <v>151.63</v>
      </c>
      <c r="F250" s="112">
        <v>148.16</v>
      </c>
      <c r="G250" s="113">
        <v>5909000</v>
      </c>
      <c r="H250" s="107">
        <f t="shared" si="3"/>
        <v>2.3679047425748888E-3</v>
      </c>
      <c r="I250" s="47"/>
    </row>
    <row r="251" spans="1:9">
      <c r="A251" s="109">
        <v>45257</v>
      </c>
      <c r="B251" s="112">
        <v>152.29</v>
      </c>
      <c r="C251" s="112">
        <v>152.32</v>
      </c>
      <c r="D251" s="112">
        <v>150.97</v>
      </c>
      <c r="E251" s="112">
        <v>151.28</v>
      </c>
      <c r="F251" s="112">
        <v>147.81</v>
      </c>
      <c r="G251" s="113">
        <v>6449700</v>
      </c>
      <c r="H251" s="107">
        <f t="shared" si="3"/>
        <v>-8.0531507952485652E-3</v>
      </c>
      <c r="I251" s="47"/>
    </row>
    <row r="252" spans="1:9">
      <c r="A252" s="109">
        <v>45254</v>
      </c>
      <c r="B252" s="112">
        <v>150.86000000000001</v>
      </c>
      <c r="C252" s="112">
        <v>152.68</v>
      </c>
      <c r="D252" s="112">
        <v>150.86000000000001</v>
      </c>
      <c r="E252" s="112">
        <v>152.5</v>
      </c>
      <c r="F252" s="112">
        <v>149.01</v>
      </c>
      <c r="G252" s="113">
        <v>3351400</v>
      </c>
      <c r="H252" s="107">
        <f t="shared" si="3"/>
        <v>1.119706840390864E-2</v>
      </c>
      <c r="I252" s="47"/>
    </row>
    <row r="253" spans="1:9">
      <c r="A253" s="109">
        <v>45252</v>
      </c>
      <c r="B253" s="112">
        <v>151.63</v>
      </c>
      <c r="C253" s="112">
        <v>152.04</v>
      </c>
      <c r="D253" s="112">
        <v>150.38999999999999</v>
      </c>
      <c r="E253" s="112">
        <v>150.82</v>
      </c>
      <c r="F253" s="112">
        <v>147.36000000000001</v>
      </c>
      <c r="G253" s="113">
        <v>4633500</v>
      </c>
      <c r="H253" s="107">
        <f t="shared" si="3"/>
        <v>-2.0316944331571379E-3</v>
      </c>
      <c r="I253" s="47"/>
    </row>
    <row r="254" spans="1:9">
      <c r="A254" s="109">
        <v>45251</v>
      </c>
      <c r="B254" s="112">
        <v>150.1</v>
      </c>
      <c r="C254" s="112">
        <v>151.29</v>
      </c>
      <c r="D254" s="112">
        <v>149.61000000000001</v>
      </c>
      <c r="E254" s="112">
        <v>151.12</v>
      </c>
      <c r="F254" s="112">
        <v>147.66</v>
      </c>
      <c r="G254" s="113">
        <v>5916300</v>
      </c>
      <c r="H254" s="107">
        <f t="shared" si="3"/>
        <v>8.0557072637903251E-3</v>
      </c>
      <c r="I254" s="47"/>
    </row>
    <row r="255" spans="1:9">
      <c r="A255" s="109">
        <v>45250</v>
      </c>
      <c r="B255" s="112">
        <v>147.91</v>
      </c>
      <c r="C255" s="112">
        <v>150.4</v>
      </c>
      <c r="D255" s="112">
        <v>147.54</v>
      </c>
      <c r="E255" s="112">
        <v>149.91</v>
      </c>
      <c r="F255" s="112">
        <v>146.47999999999999</v>
      </c>
      <c r="G255" s="113">
        <v>8851700</v>
      </c>
      <c r="H255" s="107">
        <f t="shared" si="3"/>
        <v>8.8154269972451869E-3</v>
      </c>
      <c r="I255" s="47"/>
    </row>
    <row r="256" spans="1:9">
      <c r="A256" s="109">
        <v>45247</v>
      </c>
      <c r="B256" s="112">
        <v>150.55000000000001</v>
      </c>
      <c r="C256" s="112">
        <v>150.79</v>
      </c>
      <c r="D256" s="112">
        <v>149.07</v>
      </c>
      <c r="E256" s="112">
        <v>149.79</v>
      </c>
      <c r="F256" s="112">
        <v>145.19999999999999</v>
      </c>
      <c r="G256" s="113">
        <v>7023300</v>
      </c>
      <c r="H256" s="107">
        <f t="shared" si="3"/>
        <v>-2.0618556701031709E-3</v>
      </c>
      <c r="I256" s="47"/>
    </row>
    <row r="257" spans="1:9">
      <c r="A257" s="109">
        <v>45246</v>
      </c>
      <c r="B257" s="112">
        <v>149.5</v>
      </c>
      <c r="C257" s="112">
        <v>150.16999999999999</v>
      </c>
      <c r="D257" s="112">
        <v>148.63999999999999</v>
      </c>
      <c r="E257" s="112">
        <v>150.1</v>
      </c>
      <c r="F257" s="112">
        <v>145.5</v>
      </c>
      <c r="G257" s="113">
        <v>6875600</v>
      </c>
      <c r="H257" s="107">
        <f t="shared" si="3"/>
        <v>8.7354409317803028E-3</v>
      </c>
      <c r="I257" s="47"/>
    </row>
    <row r="258" spans="1:9">
      <c r="A258" s="109">
        <v>45245</v>
      </c>
      <c r="B258" s="112">
        <v>147.35</v>
      </c>
      <c r="C258" s="112">
        <v>149.41999999999999</v>
      </c>
      <c r="D258" s="112">
        <v>147.27000000000001</v>
      </c>
      <c r="E258" s="112">
        <v>148.80000000000001</v>
      </c>
      <c r="F258" s="112">
        <v>144.24</v>
      </c>
      <c r="G258" s="113">
        <v>6729100</v>
      </c>
      <c r="H258" s="107">
        <f t="shared" si="3"/>
        <v>7.7551875916999488E-3</v>
      </c>
      <c r="I258" s="47"/>
    </row>
    <row r="259" spans="1:9">
      <c r="A259" s="109">
        <v>45244</v>
      </c>
      <c r="B259" s="112">
        <v>147.63999999999999</v>
      </c>
      <c r="C259" s="112">
        <v>148.54</v>
      </c>
      <c r="D259" s="112">
        <v>146.97</v>
      </c>
      <c r="E259" s="112">
        <v>147.66</v>
      </c>
      <c r="F259" s="112">
        <v>143.13</v>
      </c>
      <c r="G259" s="113">
        <v>6713600</v>
      </c>
      <c r="H259" s="107">
        <f t="shared" ref="H259:H322" si="4">(F259-F260)/F260</f>
        <v>2.0964360587002892E-4</v>
      </c>
      <c r="I259" s="47"/>
    </row>
    <row r="260" spans="1:9">
      <c r="A260" s="109">
        <v>45243</v>
      </c>
      <c r="B260" s="112">
        <v>147.25</v>
      </c>
      <c r="C260" s="112">
        <v>147.9</v>
      </c>
      <c r="D260" s="112">
        <v>146.65</v>
      </c>
      <c r="E260" s="112">
        <v>147.63</v>
      </c>
      <c r="F260" s="112">
        <v>143.1</v>
      </c>
      <c r="G260" s="113">
        <v>5889300</v>
      </c>
      <c r="H260" s="107">
        <f t="shared" si="4"/>
        <v>2.5923071533665281E-3</v>
      </c>
      <c r="I260" s="47"/>
    </row>
    <row r="261" spans="1:9">
      <c r="A261" s="109">
        <v>45240</v>
      </c>
      <c r="B261" s="112">
        <v>148.25</v>
      </c>
      <c r="C261" s="112">
        <v>148.5</v>
      </c>
      <c r="D261" s="112">
        <v>145.63999999999999</v>
      </c>
      <c r="E261" s="112">
        <v>147.25</v>
      </c>
      <c r="F261" s="112">
        <v>142.72999999999999</v>
      </c>
      <c r="G261" s="113">
        <v>6930700</v>
      </c>
      <c r="H261" s="107">
        <f t="shared" si="4"/>
        <v>-1.189643107067991E-3</v>
      </c>
      <c r="I261" s="47"/>
    </row>
    <row r="262" spans="1:9">
      <c r="A262" s="109">
        <v>45239</v>
      </c>
      <c r="B262" s="112">
        <v>150.5</v>
      </c>
      <c r="C262" s="112">
        <v>150.5</v>
      </c>
      <c r="D262" s="112">
        <v>147.26</v>
      </c>
      <c r="E262" s="112">
        <v>147.41999999999999</v>
      </c>
      <c r="F262" s="112">
        <v>142.9</v>
      </c>
      <c r="G262" s="113">
        <v>6973600</v>
      </c>
      <c r="H262" s="107">
        <f t="shared" si="4"/>
        <v>-1.9486757238918646E-2</v>
      </c>
      <c r="I262" s="47"/>
    </row>
    <row r="263" spans="1:9">
      <c r="A263" s="109">
        <v>45238</v>
      </c>
      <c r="B263" s="112">
        <v>151.35</v>
      </c>
      <c r="C263" s="112">
        <v>151.83000000000001</v>
      </c>
      <c r="D263" s="112">
        <v>150.34</v>
      </c>
      <c r="E263" s="112">
        <v>150.35</v>
      </c>
      <c r="F263" s="112">
        <v>145.74</v>
      </c>
      <c r="G263" s="113">
        <v>5460000</v>
      </c>
      <c r="H263" s="107">
        <f t="shared" si="4"/>
        <v>-3.6234361113010264E-3</v>
      </c>
      <c r="I263" s="47"/>
    </row>
    <row r="264" spans="1:9">
      <c r="A264" s="109">
        <v>45237</v>
      </c>
      <c r="B264" s="112">
        <v>151.93</v>
      </c>
      <c r="C264" s="112">
        <v>152.25</v>
      </c>
      <c r="D264" s="112">
        <v>150.68</v>
      </c>
      <c r="E264" s="112">
        <v>150.9</v>
      </c>
      <c r="F264" s="112">
        <v>146.27000000000001</v>
      </c>
      <c r="G264" s="113">
        <v>4840400</v>
      </c>
      <c r="H264" s="107">
        <f t="shared" si="4"/>
        <v>-5.3043182590955529E-3</v>
      </c>
      <c r="I264" s="47"/>
    </row>
    <row r="265" spans="1:9">
      <c r="A265" s="109">
        <v>45236</v>
      </c>
      <c r="B265" s="112">
        <v>151.78</v>
      </c>
      <c r="C265" s="112">
        <v>152.43</v>
      </c>
      <c r="D265" s="112">
        <v>151.37</v>
      </c>
      <c r="E265" s="112">
        <v>151.69999999999999</v>
      </c>
      <c r="F265" s="112">
        <v>147.05000000000001</v>
      </c>
      <c r="G265" s="113">
        <v>4851400</v>
      </c>
      <c r="H265" s="107">
        <f t="shared" si="4"/>
        <v>2.3858214042264672E-3</v>
      </c>
      <c r="I265" s="47"/>
    </row>
    <row r="266" spans="1:9">
      <c r="A266" s="109">
        <v>45233</v>
      </c>
      <c r="B266" s="112">
        <v>151.21</v>
      </c>
      <c r="C266" s="112">
        <v>152.27000000000001</v>
      </c>
      <c r="D266" s="112">
        <v>150.15</v>
      </c>
      <c r="E266" s="112">
        <v>151.34</v>
      </c>
      <c r="F266" s="112">
        <v>146.69999999999999</v>
      </c>
      <c r="G266" s="113">
        <v>4925500</v>
      </c>
      <c r="H266" s="107">
        <f t="shared" si="4"/>
        <v>7.3473872141728569E-3</v>
      </c>
      <c r="I266" s="47"/>
    </row>
    <row r="267" spans="1:9">
      <c r="A267" s="109">
        <v>45232</v>
      </c>
      <c r="B267" s="112">
        <v>147.71</v>
      </c>
      <c r="C267" s="112">
        <v>150.4</v>
      </c>
      <c r="D267" s="112">
        <v>147.54</v>
      </c>
      <c r="E267" s="112">
        <v>150.24</v>
      </c>
      <c r="F267" s="112">
        <v>145.63</v>
      </c>
      <c r="G267" s="113">
        <v>5349100</v>
      </c>
      <c r="H267" s="107">
        <f t="shared" si="4"/>
        <v>1.0407271213487824E-2</v>
      </c>
      <c r="I267" s="47"/>
    </row>
    <row r="268" spans="1:9">
      <c r="A268" s="109">
        <v>45231</v>
      </c>
      <c r="B268" s="112">
        <v>149.19</v>
      </c>
      <c r="C268" s="112">
        <v>149.76</v>
      </c>
      <c r="D268" s="112">
        <v>148.46</v>
      </c>
      <c r="E268" s="112">
        <v>148.69</v>
      </c>
      <c r="F268" s="112">
        <v>144.13</v>
      </c>
      <c r="G268" s="113">
        <v>5733000</v>
      </c>
      <c r="H268" s="107">
        <f t="shared" si="4"/>
        <v>2.3645594269420919E-3</v>
      </c>
      <c r="I268" s="47"/>
    </row>
    <row r="269" spans="1:9">
      <c r="A269" s="109">
        <v>45230</v>
      </c>
      <c r="B269" s="112">
        <v>147.54</v>
      </c>
      <c r="C269" s="112">
        <v>148.54</v>
      </c>
      <c r="D269" s="112">
        <v>146.63999999999999</v>
      </c>
      <c r="E269" s="112">
        <v>148.34</v>
      </c>
      <c r="F269" s="112">
        <v>143.79</v>
      </c>
      <c r="G269" s="113">
        <v>7576900</v>
      </c>
      <c r="H269" s="107">
        <f t="shared" si="4"/>
        <v>8.9110300308727318E-3</v>
      </c>
      <c r="I269" s="47"/>
    </row>
    <row r="270" spans="1:9">
      <c r="A270" s="109">
        <v>45229</v>
      </c>
      <c r="B270" s="112">
        <v>146.09</v>
      </c>
      <c r="C270" s="112">
        <v>147.24</v>
      </c>
      <c r="D270" s="112">
        <v>146</v>
      </c>
      <c r="E270" s="112">
        <v>147.03</v>
      </c>
      <c r="F270" s="112">
        <v>142.52000000000001</v>
      </c>
      <c r="G270" s="113">
        <v>8205300</v>
      </c>
      <c r="H270" s="107">
        <f t="shared" si="4"/>
        <v>9.8490753206264773E-3</v>
      </c>
      <c r="I270" s="47"/>
    </row>
    <row r="271" spans="1:9">
      <c r="A271" s="109">
        <v>45226</v>
      </c>
      <c r="B271" s="112">
        <v>148.49</v>
      </c>
      <c r="C271" s="112">
        <v>148.66</v>
      </c>
      <c r="D271" s="112">
        <v>144.94999999999999</v>
      </c>
      <c r="E271" s="112">
        <v>145.6</v>
      </c>
      <c r="F271" s="112">
        <v>141.13</v>
      </c>
      <c r="G271" s="113">
        <v>11385800</v>
      </c>
      <c r="H271" s="107">
        <f t="shared" si="4"/>
        <v>-2.2848438690022926E-2</v>
      </c>
      <c r="I271" s="47"/>
    </row>
    <row r="272" spans="1:9">
      <c r="A272" s="109">
        <v>45225</v>
      </c>
      <c r="B272" s="112">
        <v>151.97</v>
      </c>
      <c r="C272" s="112">
        <v>151.97</v>
      </c>
      <c r="D272" s="112">
        <v>148.88</v>
      </c>
      <c r="E272" s="112">
        <v>149</v>
      </c>
      <c r="F272" s="112">
        <v>144.43</v>
      </c>
      <c r="G272" s="113">
        <v>7612500</v>
      </c>
      <c r="H272" s="107">
        <f t="shared" si="4"/>
        <v>-1.6947998910971828E-2</v>
      </c>
      <c r="I272" s="47"/>
    </row>
    <row r="273" spans="1:9">
      <c r="A273" s="109">
        <v>45224</v>
      </c>
      <c r="B273" s="112">
        <v>151.24</v>
      </c>
      <c r="C273" s="112">
        <v>152.16999999999999</v>
      </c>
      <c r="D273" s="112">
        <v>150.22999999999999</v>
      </c>
      <c r="E273" s="112">
        <v>151.57</v>
      </c>
      <c r="F273" s="112">
        <v>146.91999999999999</v>
      </c>
      <c r="G273" s="113">
        <v>5880800</v>
      </c>
      <c r="H273" s="107">
        <f t="shared" si="4"/>
        <v>2.2511767514836216E-3</v>
      </c>
      <c r="I273" s="47"/>
    </row>
    <row r="274" spans="1:9">
      <c r="A274" s="109">
        <v>45223</v>
      </c>
      <c r="B274" s="112">
        <v>150.75</v>
      </c>
      <c r="C274" s="112">
        <v>151.96</v>
      </c>
      <c r="D274" s="112">
        <v>150.13</v>
      </c>
      <c r="E274" s="112">
        <v>151.22999999999999</v>
      </c>
      <c r="F274" s="112">
        <v>146.59</v>
      </c>
      <c r="G274" s="113">
        <v>6155300</v>
      </c>
      <c r="H274" s="107">
        <f t="shared" si="4"/>
        <v>-1.0902896081771488E-3</v>
      </c>
      <c r="I274" s="47"/>
    </row>
    <row r="275" spans="1:9">
      <c r="A275" s="109">
        <v>45222</v>
      </c>
      <c r="B275" s="112">
        <v>152.86000000000001</v>
      </c>
      <c r="C275" s="112">
        <v>153.5</v>
      </c>
      <c r="D275" s="112">
        <v>151.21</v>
      </c>
      <c r="E275" s="112">
        <v>151.38999999999999</v>
      </c>
      <c r="F275" s="112">
        <v>146.75</v>
      </c>
      <c r="G275" s="113">
        <v>5874000</v>
      </c>
      <c r="H275" s="107">
        <f t="shared" si="4"/>
        <v>-1.0518508529431611E-2</v>
      </c>
      <c r="I275" s="47"/>
    </row>
    <row r="276" spans="1:9">
      <c r="A276" s="109">
        <v>45219</v>
      </c>
      <c r="B276" s="112">
        <v>152.74</v>
      </c>
      <c r="C276" s="112">
        <v>153.87</v>
      </c>
      <c r="D276" s="112">
        <v>152.33000000000001</v>
      </c>
      <c r="E276" s="112">
        <v>153</v>
      </c>
      <c r="F276" s="112">
        <v>148.31</v>
      </c>
      <c r="G276" s="113">
        <v>7206600</v>
      </c>
      <c r="H276" s="107">
        <f t="shared" si="4"/>
        <v>4.4700304774805046E-3</v>
      </c>
      <c r="I276" s="47"/>
    </row>
    <row r="277" spans="1:9">
      <c r="A277" s="109">
        <v>45218</v>
      </c>
      <c r="B277" s="112">
        <v>151.66999999999999</v>
      </c>
      <c r="C277" s="112">
        <v>153.11000000000001</v>
      </c>
      <c r="D277" s="112">
        <v>150.15</v>
      </c>
      <c r="E277" s="112">
        <v>152.32</v>
      </c>
      <c r="F277" s="112">
        <v>147.65</v>
      </c>
      <c r="G277" s="113">
        <v>7733800</v>
      </c>
      <c r="H277" s="107">
        <f t="shared" si="4"/>
        <v>-2.7017899358325274E-3</v>
      </c>
      <c r="I277" s="47"/>
    </row>
    <row r="278" spans="1:9">
      <c r="A278" s="109">
        <v>45217</v>
      </c>
      <c r="B278" s="112">
        <v>155.41</v>
      </c>
      <c r="C278" s="112">
        <v>155.94999999999999</v>
      </c>
      <c r="D278" s="112">
        <v>152.05000000000001</v>
      </c>
      <c r="E278" s="112">
        <v>152.72999999999999</v>
      </c>
      <c r="F278" s="112">
        <v>148.05000000000001</v>
      </c>
      <c r="G278" s="113">
        <v>9097300</v>
      </c>
      <c r="H278" s="107">
        <f t="shared" si="4"/>
        <v>-2.1480502313284862E-2</v>
      </c>
      <c r="I278" s="47"/>
    </row>
    <row r="279" spans="1:9">
      <c r="A279" s="109">
        <v>45216</v>
      </c>
      <c r="B279" s="112">
        <v>155.97999999999999</v>
      </c>
      <c r="C279" s="112">
        <v>158.94999999999999</v>
      </c>
      <c r="D279" s="112">
        <v>154.61000000000001</v>
      </c>
      <c r="E279" s="112">
        <v>156.09</v>
      </c>
      <c r="F279" s="112">
        <v>151.30000000000001</v>
      </c>
      <c r="G279" s="113">
        <v>12244400</v>
      </c>
      <c r="H279" s="107">
        <f t="shared" si="4"/>
        <v>-9.1683038637850513E-3</v>
      </c>
      <c r="I279" s="47"/>
    </row>
    <row r="280" spans="1:9">
      <c r="A280" s="109">
        <v>45215</v>
      </c>
      <c r="B280" s="112">
        <v>157.82</v>
      </c>
      <c r="C280" s="112">
        <v>158.25</v>
      </c>
      <c r="D280" s="112">
        <v>156.84</v>
      </c>
      <c r="E280" s="112">
        <v>157.53</v>
      </c>
      <c r="F280" s="112">
        <v>152.69999999999999</v>
      </c>
      <c r="G280" s="113">
        <v>6408100</v>
      </c>
      <c r="H280" s="107">
        <f t="shared" si="4"/>
        <v>4.3409629044987939E-3</v>
      </c>
      <c r="I280" s="47"/>
    </row>
    <row r="281" spans="1:9">
      <c r="A281" s="109">
        <v>45212</v>
      </c>
      <c r="B281" s="112">
        <v>156.72999999999999</v>
      </c>
      <c r="C281" s="112">
        <v>157.36000000000001</v>
      </c>
      <c r="D281" s="112">
        <v>156.05000000000001</v>
      </c>
      <c r="E281" s="112">
        <v>156.85</v>
      </c>
      <c r="F281" s="112">
        <v>152.04</v>
      </c>
      <c r="G281" s="113">
        <v>5359800</v>
      </c>
      <c r="H281" s="107">
        <f t="shared" si="4"/>
        <v>3.3656701643238361E-3</v>
      </c>
      <c r="I281" s="47"/>
    </row>
    <row r="282" spans="1:9">
      <c r="A282" s="109">
        <v>45211</v>
      </c>
      <c r="B282" s="112">
        <v>155.91999999999999</v>
      </c>
      <c r="C282" s="112">
        <v>156.56</v>
      </c>
      <c r="D282" s="112">
        <v>155.07</v>
      </c>
      <c r="E282" s="112">
        <v>156.33000000000001</v>
      </c>
      <c r="F282" s="112">
        <v>151.53</v>
      </c>
      <c r="G282" s="113">
        <v>5792400</v>
      </c>
      <c r="H282" s="107">
        <f t="shared" si="4"/>
        <v>9.247638549442816E-4</v>
      </c>
      <c r="I282" s="47"/>
    </row>
    <row r="283" spans="1:9">
      <c r="A283" s="109">
        <v>45210</v>
      </c>
      <c r="B283" s="112">
        <v>158.46</v>
      </c>
      <c r="C283" s="112">
        <v>159.05000000000001</v>
      </c>
      <c r="D283" s="112">
        <v>156.04</v>
      </c>
      <c r="E283" s="112">
        <v>156.18</v>
      </c>
      <c r="F283" s="112">
        <v>151.38999999999999</v>
      </c>
      <c r="G283" s="113">
        <v>6922900</v>
      </c>
      <c r="H283" s="107">
        <f t="shared" si="4"/>
        <v>-1.3745928338762304E-2</v>
      </c>
      <c r="I283" s="47"/>
    </row>
    <row r="284" spans="1:9">
      <c r="A284" s="109">
        <v>45209</v>
      </c>
      <c r="B284" s="112">
        <v>158.38</v>
      </c>
      <c r="C284" s="112">
        <v>159.27000000000001</v>
      </c>
      <c r="D284" s="112">
        <v>157.9</v>
      </c>
      <c r="E284" s="112">
        <v>158.36000000000001</v>
      </c>
      <c r="F284" s="112">
        <v>153.5</v>
      </c>
      <c r="G284" s="113">
        <v>5273500</v>
      </c>
      <c r="H284" s="107">
        <f t="shared" si="4"/>
        <v>-1.171264966163501E-3</v>
      </c>
      <c r="I284" s="47"/>
    </row>
    <row r="285" spans="1:9">
      <c r="A285" s="109">
        <v>45208</v>
      </c>
      <c r="B285" s="112">
        <v>157.18</v>
      </c>
      <c r="C285" s="112">
        <v>158.88</v>
      </c>
      <c r="D285" s="112">
        <v>157.09</v>
      </c>
      <c r="E285" s="112">
        <v>158.54</v>
      </c>
      <c r="F285" s="112">
        <v>153.68</v>
      </c>
      <c r="G285" s="113">
        <v>4414100</v>
      </c>
      <c r="H285" s="107">
        <f t="shared" si="4"/>
        <v>5.7591623036648909E-3</v>
      </c>
      <c r="I285" s="47"/>
    </row>
    <row r="286" spans="1:9">
      <c r="A286" s="109">
        <v>45205</v>
      </c>
      <c r="B286" s="112">
        <v>157.08000000000001</v>
      </c>
      <c r="C286" s="112">
        <v>158.30000000000001</v>
      </c>
      <c r="D286" s="112">
        <v>156.59</v>
      </c>
      <c r="E286" s="112">
        <v>157.63999999999999</v>
      </c>
      <c r="F286" s="112">
        <v>152.80000000000001</v>
      </c>
      <c r="G286" s="113">
        <v>5801100</v>
      </c>
      <c r="H286" s="107">
        <f t="shared" si="4"/>
        <v>3.1512605042018004E-3</v>
      </c>
      <c r="I286" s="47"/>
    </row>
    <row r="287" spans="1:9">
      <c r="A287" s="109">
        <v>45204</v>
      </c>
      <c r="B287" s="112">
        <v>156.27000000000001</v>
      </c>
      <c r="C287" s="112">
        <v>158.04</v>
      </c>
      <c r="D287" s="112">
        <v>156.07</v>
      </c>
      <c r="E287" s="112">
        <v>157.13999999999999</v>
      </c>
      <c r="F287" s="112">
        <v>152.32</v>
      </c>
      <c r="G287" s="113">
        <v>5993300</v>
      </c>
      <c r="H287" s="107">
        <f t="shared" si="4"/>
        <v>1.0414593698175743E-2</v>
      </c>
      <c r="I287" s="47"/>
    </row>
    <row r="288" spans="1:9">
      <c r="A288" s="109">
        <v>45203</v>
      </c>
      <c r="B288" s="112">
        <v>155.57</v>
      </c>
      <c r="C288" s="112">
        <v>155.93</v>
      </c>
      <c r="D288" s="112">
        <v>154.57</v>
      </c>
      <c r="E288" s="112">
        <v>155.52000000000001</v>
      </c>
      <c r="F288" s="112">
        <v>150.75</v>
      </c>
      <c r="G288" s="113">
        <v>4955200</v>
      </c>
      <c r="H288" s="107">
        <f t="shared" si="4"/>
        <v>1.1289679904368938E-3</v>
      </c>
      <c r="I288" s="47"/>
    </row>
    <row r="289" spans="1:9">
      <c r="A289" s="109">
        <v>45202</v>
      </c>
      <c r="B289" s="112">
        <v>154.68</v>
      </c>
      <c r="C289" s="112">
        <v>155.5</v>
      </c>
      <c r="D289" s="112">
        <v>153.88999999999999</v>
      </c>
      <c r="E289" s="112">
        <v>155.34</v>
      </c>
      <c r="F289" s="112">
        <v>150.58000000000001</v>
      </c>
      <c r="G289" s="113">
        <v>5740800</v>
      </c>
      <c r="H289" s="107">
        <f t="shared" si="4"/>
        <v>1.2633818737949741E-3</v>
      </c>
      <c r="I289" s="47"/>
    </row>
    <row r="290" spans="1:9">
      <c r="A290" s="109">
        <v>45201</v>
      </c>
      <c r="B290" s="112">
        <v>155.41999999999999</v>
      </c>
      <c r="C290" s="112">
        <v>155.41999999999999</v>
      </c>
      <c r="D290" s="112">
        <v>153.32</v>
      </c>
      <c r="E290" s="112">
        <v>155.15</v>
      </c>
      <c r="F290" s="112">
        <v>150.38999999999999</v>
      </c>
      <c r="G290" s="113">
        <v>7259700</v>
      </c>
      <c r="H290" s="107">
        <f t="shared" si="4"/>
        <v>-3.8418228787177088E-3</v>
      </c>
      <c r="I290" s="47"/>
    </row>
    <row r="291" spans="1:9">
      <c r="A291" s="109">
        <v>45198</v>
      </c>
      <c r="B291" s="112">
        <v>157.37</v>
      </c>
      <c r="C291" s="112">
        <v>157.6</v>
      </c>
      <c r="D291" s="112">
        <v>155.35</v>
      </c>
      <c r="E291" s="112">
        <v>155.75</v>
      </c>
      <c r="F291" s="112">
        <v>150.97</v>
      </c>
      <c r="G291" s="113">
        <v>7679900</v>
      </c>
      <c r="H291" s="107">
        <f t="shared" si="4"/>
        <v>-7.2335108831458822E-3</v>
      </c>
      <c r="I291" s="47"/>
    </row>
    <row r="292" spans="1:9">
      <c r="A292" s="109">
        <v>45197</v>
      </c>
      <c r="B292" s="112">
        <v>157.5</v>
      </c>
      <c r="C292" s="112">
        <v>157.96</v>
      </c>
      <c r="D292" s="112">
        <v>156.22</v>
      </c>
      <c r="E292" s="112">
        <v>156.88</v>
      </c>
      <c r="F292" s="112">
        <v>152.07</v>
      </c>
      <c r="G292" s="113">
        <v>7861900</v>
      </c>
      <c r="H292" s="107">
        <f t="shared" si="4"/>
        <v>-1.4446122529384652E-3</v>
      </c>
      <c r="I292" s="47"/>
    </row>
    <row r="293" spans="1:9">
      <c r="A293" s="109">
        <v>45196</v>
      </c>
      <c r="B293" s="112">
        <v>158.58000000000001</v>
      </c>
      <c r="C293" s="112">
        <v>158.76</v>
      </c>
      <c r="D293" s="112">
        <v>155.26</v>
      </c>
      <c r="E293" s="112">
        <v>157.11000000000001</v>
      </c>
      <c r="F293" s="112">
        <v>152.29</v>
      </c>
      <c r="G293" s="113">
        <v>10211600</v>
      </c>
      <c r="H293" s="107">
        <f t="shared" si="4"/>
        <v>-1.2002076034773547E-2</v>
      </c>
      <c r="I293" s="47"/>
    </row>
    <row r="294" spans="1:9">
      <c r="A294" s="109">
        <v>45195</v>
      </c>
      <c r="B294" s="112">
        <v>159.81</v>
      </c>
      <c r="C294" s="112">
        <v>160.08000000000001</v>
      </c>
      <c r="D294" s="112">
        <v>158.86000000000001</v>
      </c>
      <c r="E294" s="112">
        <v>159.02000000000001</v>
      </c>
      <c r="F294" s="112">
        <v>154.13999999999999</v>
      </c>
      <c r="G294" s="113">
        <v>4904800</v>
      </c>
      <c r="H294" s="107">
        <f t="shared" si="4"/>
        <v>-7.7249903437621803E-3</v>
      </c>
      <c r="I294" s="47"/>
    </row>
    <row r="295" spans="1:9">
      <c r="A295" s="109">
        <v>45194</v>
      </c>
      <c r="B295" s="112">
        <v>160.07</v>
      </c>
      <c r="C295" s="112">
        <v>160.36000000000001</v>
      </c>
      <c r="D295" s="112">
        <v>158.72999999999999</v>
      </c>
      <c r="E295" s="112">
        <v>160.26</v>
      </c>
      <c r="F295" s="112">
        <v>155.34</v>
      </c>
      <c r="G295" s="113">
        <v>6722500</v>
      </c>
      <c r="H295" s="107">
        <f t="shared" si="4"/>
        <v>-1.5426147319707486E-3</v>
      </c>
      <c r="I295" s="47"/>
    </row>
    <row r="296" spans="1:9">
      <c r="A296" s="109">
        <v>45191</v>
      </c>
      <c r="B296" s="112">
        <v>161.30000000000001</v>
      </c>
      <c r="C296" s="112">
        <v>161.4</v>
      </c>
      <c r="D296" s="112">
        <v>160.25</v>
      </c>
      <c r="E296" s="112">
        <v>160.5</v>
      </c>
      <c r="F296" s="112">
        <v>155.58000000000001</v>
      </c>
      <c r="G296" s="113">
        <v>4976700</v>
      </c>
      <c r="H296" s="107">
        <f t="shared" si="4"/>
        <v>-7.1474154435225033E-3</v>
      </c>
      <c r="I296" s="47"/>
    </row>
    <row r="297" spans="1:9">
      <c r="A297" s="109">
        <v>45190</v>
      </c>
      <c r="B297" s="112">
        <v>162.57</v>
      </c>
      <c r="C297" s="112">
        <v>163.5</v>
      </c>
      <c r="D297" s="112">
        <v>161.59</v>
      </c>
      <c r="E297" s="112">
        <v>161.66</v>
      </c>
      <c r="F297" s="112">
        <v>156.69999999999999</v>
      </c>
      <c r="G297" s="113">
        <v>4526700</v>
      </c>
      <c r="H297" s="107">
        <f t="shared" si="4"/>
        <v>-7.6625926160471657E-3</v>
      </c>
      <c r="I297" s="47"/>
    </row>
    <row r="298" spans="1:9">
      <c r="A298" s="109">
        <v>45189</v>
      </c>
      <c r="B298" s="112">
        <v>162.19</v>
      </c>
      <c r="C298" s="112">
        <v>163.54</v>
      </c>
      <c r="D298" s="112">
        <v>161.66</v>
      </c>
      <c r="E298" s="112">
        <v>162.91</v>
      </c>
      <c r="F298" s="112">
        <v>157.91</v>
      </c>
      <c r="G298" s="113">
        <v>3837400</v>
      </c>
      <c r="H298" s="107">
        <f t="shared" si="4"/>
        <v>4.3887546113725844E-3</v>
      </c>
      <c r="I298" s="47"/>
    </row>
    <row r="299" spans="1:9">
      <c r="A299" s="109">
        <v>45188</v>
      </c>
      <c r="B299" s="112">
        <v>162.25</v>
      </c>
      <c r="C299" s="112">
        <v>162.85</v>
      </c>
      <c r="D299" s="112">
        <v>161.38</v>
      </c>
      <c r="E299" s="112">
        <v>162.19999999999999</v>
      </c>
      <c r="F299" s="112">
        <v>157.22</v>
      </c>
      <c r="G299" s="113">
        <v>5550800</v>
      </c>
      <c r="H299" s="107">
        <f t="shared" si="4"/>
        <v>-1.7143945647343337E-3</v>
      </c>
      <c r="I299" s="47"/>
    </row>
    <row r="300" spans="1:9">
      <c r="A300" s="109">
        <v>45187</v>
      </c>
      <c r="B300" s="112">
        <v>162.12</v>
      </c>
      <c r="C300" s="112">
        <v>163.15</v>
      </c>
      <c r="D300" s="112">
        <v>160.75</v>
      </c>
      <c r="E300" s="112">
        <v>162.47</v>
      </c>
      <c r="F300" s="112">
        <v>157.49</v>
      </c>
      <c r="G300" s="113">
        <v>5789000</v>
      </c>
      <c r="H300" s="107">
        <f t="shared" si="4"/>
        <v>6.3258785942492592E-3</v>
      </c>
      <c r="I300" s="47"/>
    </row>
    <row r="301" spans="1:9">
      <c r="A301" s="109">
        <v>45184</v>
      </c>
      <c r="B301" s="112">
        <v>163.98</v>
      </c>
      <c r="C301" s="112">
        <v>164.82</v>
      </c>
      <c r="D301" s="112">
        <v>161.21</v>
      </c>
      <c r="E301" s="112">
        <v>161.44999999999999</v>
      </c>
      <c r="F301" s="112">
        <v>156.5</v>
      </c>
      <c r="G301" s="113">
        <v>13388900</v>
      </c>
      <c r="H301" s="107">
        <f t="shared" si="4"/>
        <v>-1.3986895161290315E-2</v>
      </c>
      <c r="I301" s="47"/>
    </row>
    <row r="302" spans="1:9">
      <c r="A302" s="109">
        <v>45183</v>
      </c>
      <c r="B302" s="112">
        <v>164.68</v>
      </c>
      <c r="C302" s="112">
        <v>165.27</v>
      </c>
      <c r="D302" s="112">
        <v>163.44</v>
      </c>
      <c r="E302" s="112">
        <v>163.74</v>
      </c>
      <c r="F302" s="112">
        <v>158.72</v>
      </c>
      <c r="G302" s="113">
        <v>7758400</v>
      </c>
      <c r="H302" s="107">
        <f t="shared" si="4"/>
        <v>-1.5098137896326692E-3</v>
      </c>
      <c r="I302" s="47"/>
    </row>
    <row r="303" spans="1:9">
      <c r="A303" s="109">
        <v>45182</v>
      </c>
      <c r="B303" s="112">
        <v>163.76</v>
      </c>
      <c r="C303" s="112">
        <v>164.95</v>
      </c>
      <c r="D303" s="112">
        <v>163</v>
      </c>
      <c r="E303" s="112">
        <v>163.99</v>
      </c>
      <c r="F303" s="112">
        <v>158.96</v>
      </c>
      <c r="G303" s="113">
        <v>7397500</v>
      </c>
      <c r="H303" s="107">
        <f t="shared" si="4"/>
        <v>2.5227043390514989E-3</v>
      </c>
      <c r="I303" s="47"/>
    </row>
    <row r="304" spans="1:9">
      <c r="A304" s="109">
        <v>45181</v>
      </c>
      <c r="B304" s="112">
        <v>162.22</v>
      </c>
      <c r="C304" s="112">
        <v>163.93</v>
      </c>
      <c r="D304" s="112">
        <v>161.53</v>
      </c>
      <c r="E304" s="112">
        <v>163.58000000000001</v>
      </c>
      <c r="F304" s="112">
        <v>158.56</v>
      </c>
      <c r="G304" s="113">
        <v>6045800</v>
      </c>
      <c r="H304" s="107">
        <f t="shared" si="4"/>
        <v>5.6447009576965487E-3</v>
      </c>
      <c r="I304" s="47"/>
    </row>
    <row r="305" spans="1:9">
      <c r="A305" s="109">
        <v>45180</v>
      </c>
      <c r="B305" s="112">
        <v>161.06</v>
      </c>
      <c r="C305" s="112">
        <v>162.69</v>
      </c>
      <c r="D305" s="112">
        <v>160.44999999999999</v>
      </c>
      <c r="E305" s="112">
        <v>162.66</v>
      </c>
      <c r="F305" s="112">
        <v>157.66999999999999</v>
      </c>
      <c r="G305" s="113">
        <v>6309300</v>
      </c>
      <c r="H305" s="107">
        <f t="shared" si="4"/>
        <v>1.3042919557954263E-2</v>
      </c>
      <c r="I305" s="47"/>
    </row>
    <row r="306" spans="1:9">
      <c r="A306" s="109">
        <v>45177</v>
      </c>
      <c r="B306" s="112">
        <v>159.59</v>
      </c>
      <c r="C306" s="112">
        <v>160.68</v>
      </c>
      <c r="D306" s="112">
        <v>159.19</v>
      </c>
      <c r="E306" s="112">
        <v>160.56</v>
      </c>
      <c r="F306" s="112">
        <v>155.63999999999999</v>
      </c>
      <c r="G306" s="113">
        <v>6957000</v>
      </c>
      <c r="H306" s="107">
        <f t="shared" si="4"/>
        <v>3.3522434244454731E-3</v>
      </c>
      <c r="I306" s="47"/>
    </row>
    <row r="307" spans="1:9">
      <c r="A307" s="109">
        <v>45176</v>
      </c>
      <c r="B307" s="112">
        <v>159.13999999999999</v>
      </c>
      <c r="C307" s="112">
        <v>161.06</v>
      </c>
      <c r="D307" s="112">
        <v>158.97999999999999</v>
      </c>
      <c r="E307" s="112">
        <v>160.03</v>
      </c>
      <c r="F307" s="112">
        <v>155.12</v>
      </c>
      <c r="G307" s="113">
        <v>9931800</v>
      </c>
      <c r="H307" s="107">
        <f t="shared" si="4"/>
        <v>1.2797074954296214E-2</v>
      </c>
      <c r="I307" s="47"/>
    </row>
    <row r="308" spans="1:9">
      <c r="A308" s="109">
        <v>45175</v>
      </c>
      <c r="B308" s="112">
        <v>159.84</v>
      </c>
      <c r="C308" s="112">
        <v>160</v>
      </c>
      <c r="D308" s="112">
        <v>157.35</v>
      </c>
      <c r="E308" s="112">
        <v>158.01</v>
      </c>
      <c r="F308" s="112">
        <v>153.16</v>
      </c>
      <c r="G308" s="113">
        <v>9753800</v>
      </c>
      <c r="H308" s="107">
        <f t="shared" si="4"/>
        <v>-1.6629213483146089E-2</v>
      </c>
      <c r="I308" s="47"/>
    </row>
    <row r="309" spans="1:9">
      <c r="A309" s="109">
        <v>45174</v>
      </c>
      <c r="B309" s="112">
        <v>160.56</v>
      </c>
      <c r="C309" s="112">
        <v>161.97</v>
      </c>
      <c r="D309" s="112">
        <v>160.28</v>
      </c>
      <c r="E309" s="112">
        <v>160.68</v>
      </c>
      <c r="F309" s="112">
        <v>155.75</v>
      </c>
      <c r="G309" s="113">
        <v>9019800</v>
      </c>
      <c r="H309" s="107">
        <f t="shared" si="4"/>
        <v>1.2213936744664292E-3</v>
      </c>
      <c r="I309" s="47"/>
    </row>
    <row r="310" spans="1:9">
      <c r="A310" s="109">
        <v>45170</v>
      </c>
      <c r="B310" s="112">
        <v>161.41999999999999</v>
      </c>
      <c r="C310" s="112">
        <v>162.47999999999999</v>
      </c>
      <c r="D310" s="112">
        <v>160.01</v>
      </c>
      <c r="E310" s="112">
        <v>160.47999999999999</v>
      </c>
      <c r="F310" s="112">
        <v>155.56</v>
      </c>
      <c r="G310" s="113">
        <v>8609500</v>
      </c>
      <c r="H310" s="107">
        <f t="shared" si="4"/>
        <v>-7.4017355793772116E-3</v>
      </c>
      <c r="I310" s="47"/>
    </row>
    <row r="311" spans="1:9">
      <c r="A311" s="109">
        <v>45169</v>
      </c>
      <c r="B311" s="112">
        <v>163.37</v>
      </c>
      <c r="C311" s="112">
        <v>163.57</v>
      </c>
      <c r="D311" s="112">
        <v>161.28</v>
      </c>
      <c r="E311" s="112">
        <v>161.68</v>
      </c>
      <c r="F311" s="112">
        <v>156.72</v>
      </c>
      <c r="G311" s="113">
        <v>15333000</v>
      </c>
      <c r="H311" s="107">
        <f t="shared" si="4"/>
        <v>-1.2538592401235013E-2</v>
      </c>
      <c r="I311" s="47"/>
    </row>
    <row r="312" spans="1:9">
      <c r="A312" s="109">
        <v>45168</v>
      </c>
      <c r="B312" s="112">
        <v>165.11</v>
      </c>
      <c r="C312" s="112">
        <v>165.83</v>
      </c>
      <c r="D312" s="112">
        <v>163.68</v>
      </c>
      <c r="E312" s="112">
        <v>163.72999999999999</v>
      </c>
      <c r="F312" s="112">
        <v>158.71</v>
      </c>
      <c r="G312" s="113">
        <v>9939100</v>
      </c>
      <c r="H312" s="107">
        <f t="shared" si="4"/>
        <v>-3.5160419413574574E-3</v>
      </c>
      <c r="I312" s="47"/>
    </row>
    <row r="313" spans="1:9">
      <c r="A313" s="109">
        <v>45167</v>
      </c>
      <c r="B313" s="112">
        <v>164.87</v>
      </c>
      <c r="C313" s="112">
        <v>165.68</v>
      </c>
      <c r="D313" s="112">
        <v>162.77000000000001</v>
      </c>
      <c r="E313" s="112">
        <v>164.31</v>
      </c>
      <c r="F313" s="112">
        <v>159.27000000000001</v>
      </c>
      <c r="G313" s="113">
        <v>12208600</v>
      </c>
      <c r="H313" s="107">
        <f t="shared" si="4"/>
        <v>1.255886970173327E-4</v>
      </c>
      <c r="I313" s="47"/>
    </row>
    <row r="314" spans="1:9">
      <c r="A314" s="109">
        <v>45166</v>
      </c>
      <c r="B314" s="112">
        <v>165</v>
      </c>
      <c r="C314" s="112">
        <v>166.21</v>
      </c>
      <c r="D314" s="112">
        <v>163.16999999999999</v>
      </c>
      <c r="E314" s="112">
        <v>164.29</v>
      </c>
      <c r="F314" s="112">
        <v>159.25</v>
      </c>
      <c r="G314" s="113">
        <v>18458000</v>
      </c>
      <c r="H314" s="107">
        <f t="shared" si="4"/>
        <v>-1.1790257524045954E-2</v>
      </c>
      <c r="I314" s="47"/>
    </row>
    <row r="315" spans="1:9">
      <c r="A315" s="109">
        <v>45163</v>
      </c>
      <c r="B315" s="112">
        <v>164.3</v>
      </c>
      <c r="C315" s="112">
        <v>167.78</v>
      </c>
      <c r="D315" s="112">
        <v>164.06</v>
      </c>
      <c r="E315" s="112">
        <v>166.25</v>
      </c>
      <c r="F315" s="112">
        <v>161.15</v>
      </c>
      <c r="G315" s="113">
        <v>18185500</v>
      </c>
      <c r="H315" s="107">
        <f t="shared" si="4"/>
        <v>1.4351356454963184E-2</v>
      </c>
      <c r="I315" s="47"/>
    </row>
    <row r="316" spans="1:9">
      <c r="A316" s="109">
        <v>45162</v>
      </c>
      <c r="B316" s="112">
        <v>164.03</v>
      </c>
      <c r="C316" s="112">
        <v>166.67</v>
      </c>
      <c r="D316" s="112">
        <v>163.86</v>
      </c>
      <c r="E316" s="112">
        <v>165.09</v>
      </c>
      <c r="F316" s="112">
        <v>158.87</v>
      </c>
      <c r="G316" s="113">
        <v>70755100</v>
      </c>
      <c r="H316" s="107">
        <f t="shared" si="4"/>
        <v>3.410598117855062E-3</v>
      </c>
      <c r="I316" s="47"/>
    </row>
    <row r="317" spans="1:9">
      <c r="A317" s="109">
        <v>45161</v>
      </c>
      <c r="B317" s="112">
        <v>165.9</v>
      </c>
      <c r="C317" s="112">
        <v>166.5</v>
      </c>
      <c r="D317" s="112">
        <v>163.47</v>
      </c>
      <c r="E317" s="112">
        <v>164.53</v>
      </c>
      <c r="F317" s="112">
        <v>158.33000000000001</v>
      </c>
      <c r="G317" s="113">
        <v>119011400</v>
      </c>
      <c r="H317" s="107">
        <f t="shared" si="4"/>
        <v>-9.0129561244288517E-3</v>
      </c>
      <c r="I317" s="47"/>
    </row>
    <row r="318" spans="1:9">
      <c r="A318" s="109">
        <v>45160</v>
      </c>
      <c r="B318" s="112">
        <v>166.86</v>
      </c>
      <c r="C318" s="112">
        <v>167.84</v>
      </c>
      <c r="D318" s="112">
        <v>165.41</v>
      </c>
      <c r="E318" s="112">
        <v>166.02</v>
      </c>
      <c r="F318" s="112">
        <v>159.77000000000001</v>
      </c>
      <c r="G318" s="113">
        <v>56835400</v>
      </c>
      <c r="H318" s="107">
        <f t="shared" si="4"/>
        <v>-7.9478422850046641E-3</v>
      </c>
      <c r="I318" s="47"/>
    </row>
    <row r="319" spans="1:9">
      <c r="A319" s="109">
        <v>45159</v>
      </c>
      <c r="B319" s="112">
        <v>169.69</v>
      </c>
      <c r="C319" s="112">
        <v>169.85</v>
      </c>
      <c r="D319" s="112">
        <v>165.96</v>
      </c>
      <c r="E319" s="112">
        <v>167.35</v>
      </c>
      <c r="F319" s="112">
        <v>161.05000000000001</v>
      </c>
      <c r="G319" s="113">
        <v>151319500</v>
      </c>
      <c r="H319" s="107">
        <f t="shared" si="4"/>
        <v>-2.9760828965600322E-2</v>
      </c>
      <c r="I319" s="47"/>
    </row>
    <row r="320" spans="1:9">
      <c r="A320" s="109">
        <v>45156</v>
      </c>
      <c r="B320" s="112">
        <v>173.17</v>
      </c>
      <c r="C320" s="112">
        <v>173.99</v>
      </c>
      <c r="D320" s="112">
        <v>171.31</v>
      </c>
      <c r="E320" s="112">
        <v>172.49</v>
      </c>
      <c r="F320" s="112">
        <v>165.99</v>
      </c>
      <c r="G320" s="113">
        <v>49617200</v>
      </c>
      <c r="H320" s="107">
        <f t="shared" si="4"/>
        <v>-8.7782156932998852E-3</v>
      </c>
      <c r="I320" s="47"/>
    </row>
    <row r="321" spans="1:9">
      <c r="A321" s="109">
        <v>45155</v>
      </c>
      <c r="B321" s="112">
        <v>172.86</v>
      </c>
      <c r="C321" s="112">
        <v>175.39</v>
      </c>
      <c r="D321" s="112">
        <v>172.76</v>
      </c>
      <c r="E321" s="112">
        <v>174.01</v>
      </c>
      <c r="F321" s="112">
        <v>167.46</v>
      </c>
      <c r="G321" s="113">
        <v>70904200</v>
      </c>
      <c r="H321" s="107">
        <f t="shared" si="4"/>
        <v>9.4032549728752402E-3</v>
      </c>
      <c r="I321" s="47"/>
    </row>
    <row r="322" spans="1:9">
      <c r="A322" s="109">
        <v>45154</v>
      </c>
      <c r="B322" s="112">
        <v>172.53</v>
      </c>
      <c r="C322" s="112">
        <v>174.73</v>
      </c>
      <c r="D322" s="112">
        <v>172.13</v>
      </c>
      <c r="E322" s="112">
        <v>172.39</v>
      </c>
      <c r="F322" s="112">
        <v>165.9</v>
      </c>
      <c r="G322" s="113">
        <v>85832700</v>
      </c>
      <c r="H322" s="107">
        <f t="shared" si="4"/>
        <v>-3.1845220212702104E-3</v>
      </c>
      <c r="I322" s="47"/>
    </row>
    <row r="323" spans="1:9">
      <c r="A323" s="109">
        <v>45153</v>
      </c>
      <c r="B323" s="112">
        <v>172.8</v>
      </c>
      <c r="C323" s="112">
        <v>174.56</v>
      </c>
      <c r="D323" s="112">
        <v>172.14</v>
      </c>
      <c r="E323" s="112">
        <v>172.94</v>
      </c>
      <c r="F323" s="112">
        <v>166.43</v>
      </c>
      <c r="G323" s="113">
        <v>88958100</v>
      </c>
      <c r="H323" s="107">
        <f t="shared" ref="H323:H386" si="5">(F323-F324)/F324</f>
        <v>-2.8758013300580541E-3</v>
      </c>
      <c r="I323" s="47"/>
    </row>
    <row r="324" spans="1:9">
      <c r="A324" s="109">
        <v>45152</v>
      </c>
      <c r="B324" s="112">
        <v>173.52</v>
      </c>
      <c r="C324" s="112">
        <v>175.6</v>
      </c>
      <c r="D324" s="112">
        <v>171.75</v>
      </c>
      <c r="E324" s="112">
        <v>173.44</v>
      </c>
      <c r="F324" s="112">
        <v>166.91</v>
      </c>
      <c r="G324" s="113">
        <v>64036900</v>
      </c>
      <c r="H324" s="107">
        <f t="shared" si="5"/>
        <v>-2.3311416616856829E-3</v>
      </c>
      <c r="I324" s="47"/>
    </row>
    <row r="325" spans="1:9">
      <c r="A325" s="109">
        <v>45149</v>
      </c>
      <c r="B325" s="112">
        <v>172.48</v>
      </c>
      <c r="C325" s="112">
        <v>173.95</v>
      </c>
      <c r="D325" s="112">
        <v>171.62</v>
      </c>
      <c r="E325" s="112">
        <v>173.85</v>
      </c>
      <c r="F325" s="112">
        <v>167.3</v>
      </c>
      <c r="G325" s="113">
        <v>45904100</v>
      </c>
      <c r="H325" s="107">
        <f t="shared" si="5"/>
        <v>9.7169412758767188E-3</v>
      </c>
      <c r="I325" s="47"/>
    </row>
    <row r="326" spans="1:9">
      <c r="A326" s="109">
        <v>45148</v>
      </c>
      <c r="B326" s="112">
        <v>174</v>
      </c>
      <c r="C326" s="112">
        <v>175.97</v>
      </c>
      <c r="D326" s="112">
        <v>171.64</v>
      </c>
      <c r="E326" s="112">
        <v>172.17</v>
      </c>
      <c r="F326" s="112">
        <v>165.69</v>
      </c>
      <c r="G326" s="113">
        <v>48213800</v>
      </c>
      <c r="H326" s="107">
        <f t="shared" si="5"/>
        <v>-5.1636145301712016E-3</v>
      </c>
      <c r="I326" s="47"/>
    </row>
    <row r="327" spans="1:9">
      <c r="A327" s="109">
        <v>45147</v>
      </c>
      <c r="B327" s="112">
        <v>173</v>
      </c>
      <c r="C327" s="112">
        <v>174.25</v>
      </c>
      <c r="D327" s="112">
        <v>172.05</v>
      </c>
      <c r="E327" s="112">
        <v>173.07</v>
      </c>
      <c r="F327" s="112">
        <v>166.55</v>
      </c>
      <c r="G327" s="113">
        <v>42974400</v>
      </c>
      <c r="H327" s="107">
        <f t="shared" si="5"/>
        <v>-6.6002640105595361E-4</v>
      </c>
      <c r="I327" s="47"/>
    </row>
    <row r="328" spans="1:9">
      <c r="A328" s="109">
        <v>45146</v>
      </c>
      <c r="B328" s="112">
        <v>172.99</v>
      </c>
      <c r="C328" s="112">
        <v>173.55</v>
      </c>
      <c r="D328" s="112">
        <v>171.39</v>
      </c>
      <c r="E328" s="112">
        <v>173.18</v>
      </c>
      <c r="F328" s="112">
        <v>166.66</v>
      </c>
      <c r="G328" s="113">
        <v>27378700</v>
      </c>
      <c r="H328" s="107">
        <f t="shared" si="5"/>
        <v>4.8024972985943139E-4</v>
      </c>
      <c r="I328" s="47"/>
    </row>
    <row r="329" spans="1:9">
      <c r="A329" s="109">
        <v>45145</v>
      </c>
      <c r="B329" s="112">
        <v>169.49</v>
      </c>
      <c r="C329" s="112">
        <v>173.34</v>
      </c>
      <c r="D329" s="112">
        <v>169.36</v>
      </c>
      <c r="E329" s="112">
        <v>173.1</v>
      </c>
      <c r="F329" s="112">
        <v>166.58</v>
      </c>
      <c r="G329" s="113">
        <v>17736400</v>
      </c>
      <c r="H329" s="107">
        <f t="shared" si="5"/>
        <v>2.403639269687112E-2</v>
      </c>
      <c r="I329" s="47"/>
    </row>
    <row r="330" spans="1:9">
      <c r="A330" s="109">
        <v>45142</v>
      </c>
      <c r="B330" s="112">
        <v>170.34</v>
      </c>
      <c r="C330" s="112">
        <v>172.68</v>
      </c>
      <c r="D330" s="112">
        <v>167.89</v>
      </c>
      <c r="E330" s="112">
        <v>169.04</v>
      </c>
      <c r="F330" s="112">
        <v>162.66999999999999</v>
      </c>
      <c r="G330" s="113">
        <v>23414300</v>
      </c>
      <c r="H330" s="107">
        <f t="shared" si="5"/>
        <v>-9.3782351866513632E-3</v>
      </c>
      <c r="I330" s="47"/>
    </row>
    <row r="331" spans="1:9">
      <c r="A331" s="109">
        <v>45141</v>
      </c>
      <c r="B331" s="112">
        <v>169.95</v>
      </c>
      <c r="C331" s="112">
        <v>171.32</v>
      </c>
      <c r="D331" s="112">
        <v>169.67</v>
      </c>
      <c r="E331" s="112">
        <v>170.64</v>
      </c>
      <c r="F331" s="112">
        <v>164.21</v>
      </c>
      <c r="G331" s="113">
        <v>17424800</v>
      </c>
      <c r="H331" s="107">
        <f t="shared" si="5"/>
        <v>4.2810837257661128E-3</v>
      </c>
      <c r="I331" s="47"/>
    </row>
    <row r="332" spans="1:9">
      <c r="A332" s="109">
        <v>45140</v>
      </c>
      <c r="B332" s="112">
        <v>168.85</v>
      </c>
      <c r="C332" s="112">
        <v>171.24</v>
      </c>
      <c r="D332" s="112">
        <v>168.85</v>
      </c>
      <c r="E332" s="112">
        <v>169.91</v>
      </c>
      <c r="F332" s="112">
        <v>163.51</v>
      </c>
      <c r="G332" s="113">
        <v>14595600</v>
      </c>
      <c r="H332" s="107">
        <f t="shared" si="5"/>
        <v>6.0296560634959069E-3</v>
      </c>
      <c r="I332" s="47"/>
    </row>
    <row r="333" spans="1:9">
      <c r="A333" s="109">
        <v>45139</v>
      </c>
      <c r="B333" s="112">
        <v>166.37</v>
      </c>
      <c r="C333" s="112">
        <v>169.09</v>
      </c>
      <c r="D333" s="112">
        <v>166.06</v>
      </c>
      <c r="E333" s="112">
        <v>168.89</v>
      </c>
      <c r="F333" s="112">
        <v>162.53</v>
      </c>
      <c r="G333" s="113">
        <v>15810300</v>
      </c>
      <c r="H333" s="107">
        <f t="shared" si="5"/>
        <v>8.1255427366331862E-3</v>
      </c>
      <c r="I333" s="47"/>
    </row>
    <row r="334" spans="1:9">
      <c r="A334" s="109">
        <v>45138</v>
      </c>
      <c r="B334" s="112">
        <v>169.69</v>
      </c>
      <c r="C334" s="112">
        <v>170.22</v>
      </c>
      <c r="D334" s="112">
        <v>166.71</v>
      </c>
      <c r="E334" s="112">
        <v>167.53</v>
      </c>
      <c r="F334" s="112">
        <v>161.22</v>
      </c>
      <c r="G334" s="113">
        <v>22632700</v>
      </c>
      <c r="H334" s="107">
        <f t="shared" si="5"/>
        <v>-3.9842772914061089E-2</v>
      </c>
      <c r="I334" s="47"/>
    </row>
    <row r="335" spans="1:9">
      <c r="A335" s="109">
        <v>45135</v>
      </c>
      <c r="B335" s="112">
        <v>174</v>
      </c>
      <c r="C335" s="112">
        <v>175.36</v>
      </c>
      <c r="D335" s="112">
        <v>173.23</v>
      </c>
      <c r="E335" s="112">
        <v>174.48</v>
      </c>
      <c r="F335" s="112">
        <v>167.91</v>
      </c>
      <c r="G335" s="113">
        <v>14138800</v>
      </c>
      <c r="H335" s="107">
        <f t="shared" si="5"/>
        <v>4.5468142387076931E-3</v>
      </c>
      <c r="I335" s="47"/>
    </row>
    <row r="336" spans="1:9">
      <c r="A336" s="109">
        <v>45134</v>
      </c>
      <c r="B336" s="112">
        <v>172.18</v>
      </c>
      <c r="C336" s="112">
        <v>174.29</v>
      </c>
      <c r="D336" s="112">
        <v>172.04</v>
      </c>
      <c r="E336" s="112">
        <v>173.69</v>
      </c>
      <c r="F336" s="112">
        <v>167.15</v>
      </c>
      <c r="G336" s="113">
        <v>12446400</v>
      </c>
      <c r="H336" s="107">
        <f t="shared" si="5"/>
        <v>5.5949945854891518E-3</v>
      </c>
      <c r="I336" s="47"/>
    </row>
    <row r="337" spans="1:9">
      <c r="A337" s="109">
        <v>45133</v>
      </c>
      <c r="B337" s="112">
        <v>172</v>
      </c>
      <c r="C337" s="112">
        <v>173.85</v>
      </c>
      <c r="D337" s="112">
        <v>171.4</v>
      </c>
      <c r="E337" s="112">
        <v>172.72</v>
      </c>
      <c r="F337" s="112">
        <v>166.22</v>
      </c>
      <c r="G337" s="113">
        <v>14288200</v>
      </c>
      <c r="H337" s="107">
        <f t="shared" si="5"/>
        <v>1.9288728149487232E-3</v>
      </c>
      <c r="I337" s="47"/>
    </row>
    <row r="338" spans="1:9">
      <c r="A338" s="109">
        <v>45132</v>
      </c>
      <c r="B338" s="112">
        <v>170.45</v>
      </c>
      <c r="C338" s="112">
        <v>172.68</v>
      </c>
      <c r="D338" s="112">
        <v>169.75</v>
      </c>
      <c r="E338" s="112">
        <v>172.39</v>
      </c>
      <c r="F338" s="112">
        <v>165.9</v>
      </c>
      <c r="G338" s="113">
        <v>13790100</v>
      </c>
      <c r="H338" s="107">
        <f t="shared" si="5"/>
        <v>7.6530612244899137E-3</v>
      </c>
      <c r="I338" s="47"/>
    </row>
    <row r="339" spans="1:9">
      <c r="A339" s="109">
        <v>45131</v>
      </c>
      <c r="B339" s="112">
        <v>171.5</v>
      </c>
      <c r="C339" s="112">
        <v>173.82</v>
      </c>
      <c r="D339" s="112">
        <v>170.99</v>
      </c>
      <c r="E339" s="112">
        <v>171.08</v>
      </c>
      <c r="F339" s="112">
        <v>164.64</v>
      </c>
      <c r="G339" s="113">
        <v>15155400</v>
      </c>
      <c r="H339" s="107">
        <f t="shared" si="5"/>
        <v>5.2509463915007036E-3</v>
      </c>
      <c r="I339" s="47"/>
    </row>
    <row r="340" spans="1:9">
      <c r="A340" s="109">
        <v>45128</v>
      </c>
      <c r="B340" s="112">
        <v>168.18</v>
      </c>
      <c r="C340" s="112">
        <v>170.82</v>
      </c>
      <c r="D340" s="112">
        <v>168.18</v>
      </c>
      <c r="E340" s="112">
        <v>170.19</v>
      </c>
      <c r="F340" s="112">
        <v>163.78</v>
      </c>
      <c r="G340" s="113">
        <v>12076500</v>
      </c>
      <c r="H340" s="107">
        <f t="shared" si="5"/>
        <v>1.0738089360651747E-2</v>
      </c>
      <c r="I340" s="47"/>
    </row>
    <row r="341" spans="1:9">
      <c r="A341" s="109">
        <v>45127</v>
      </c>
      <c r="B341" s="112">
        <v>161.94</v>
      </c>
      <c r="C341" s="112">
        <v>169.14</v>
      </c>
      <c r="D341" s="112">
        <v>161.30000000000001</v>
      </c>
      <c r="E341" s="112">
        <v>168.38</v>
      </c>
      <c r="F341" s="112">
        <v>162.04</v>
      </c>
      <c r="G341" s="113">
        <v>21892900</v>
      </c>
      <c r="H341" s="107">
        <f t="shared" si="5"/>
        <v>6.074888714323122E-2</v>
      </c>
      <c r="I341" s="47"/>
    </row>
    <row r="342" spans="1:9">
      <c r="A342" s="109">
        <v>45126</v>
      </c>
      <c r="B342" s="112">
        <v>157.91</v>
      </c>
      <c r="C342" s="112">
        <v>160.41</v>
      </c>
      <c r="D342" s="112">
        <v>157.33000000000001</v>
      </c>
      <c r="E342" s="112">
        <v>158.74</v>
      </c>
      <c r="F342" s="112">
        <v>152.76</v>
      </c>
      <c r="G342" s="113">
        <v>7522600</v>
      </c>
      <c r="H342" s="107">
        <f t="shared" si="5"/>
        <v>-2.025217220879351E-3</v>
      </c>
      <c r="I342" s="47"/>
    </row>
    <row r="343" spans="1:9">
      <c r="A343" s="109">
        <v>45125</v>
      </c>
      <c r="B343" s="112">
        <v>159.07</v>
      </c>
      <c r="C343" s="112">
        <v>160.88999999999999</v>
      </c>
      <c r="D343" s="112">
        <v>158.19</v>
      </c>
      <c r="E343" s="112">
        <v>159.06</v>
      </c>
      <c r="F343" s="112">
        <v>153.07</v>
      </c>
      <c r="G343" s="113">
        <v>6332500</v>
      </c>
      <c r="H343" s="107">
        <f t="shared" si="5"/>
        <v>-6.532532009419471E-5</v>
      </c>
      <c r="I343" s="47"/>
    </row>
    <row r="344" spans="1:9">
      <c r="A344" s="109">
        <v>45124</v>
      </c>
      <c r="B344" s="112">
        <v>159.75</v>
      </c>
      <c r="C344" s="112">
        <v>159.87</v>
      </c>
      <c r="D344" s="112">
        <v>158.15</v>
      </c>
      <c r="E344" s="112">
        <v>159.07</v>
      </c>
      <c r="F344" s="112">
        <v>153.08000000000001</v>
      </c>
      <c r="G344" s="113">
        <v>5486800</v>
      </c>
      <c r="H344" s="107">
        <f t="shared" si="5"/>
        <v>-5.0048748781279292E-3</v>
      </c>
      <c r="I344" s="47"/>
    </row>
    <row r="345" spans="1:9">
      <c r="A345" s="109">
        <v>45121</v>
      </c>
      <c r="B345" s="112">
        <v>159.18</v>
      </c>
      <c r="C345" s="112">
        <v>160.22999999999999</v>
      </c>
      <c r="D345" s="112">
        <v>158.97999999999999</v>
      </c>
      <c r="E345" s="112">
        <v>159.87</v>
      </c>
      <c r="F345" s="112">
        <v>153.85</v>
      </c>
      <c r="G345" s="113">
        <v>5361700</v>
      </c>
      <c r="H345" s="107">
        <f t="shared" si="5"/>
        <v>6.6740823136817494E-3</v>
      </c>
      <c r="I345" s="47"/>
    </row>
    <row r="346" spans="1:9">
      <c r="A346" s="109">
        <v>45120</v>
      </c>
      <c r="B346" s="112">
        <v>158</v>
      </c>
      <c r="C346" s="112">
        <v>159.13</v>
      </c>
      <c r="D346" s="112">
        <v>157.41</v>
      </c>
      <c r="E346" s="112">
        <v>158.81</v>
      </c>
      <c r="F346" s="112">
        <v>152.83000000000001</v>
      </c>
      <c r="G346" s="113">
        <v>6401700</v>
      </c>
      <c r="H346" s="107">
        <f t="shared" si="5"/>
        <v>4.6013278117400715E-3</v>
      </c>
      <c r="I346" s="47"/>
    </row>
    <row r="347" spans="1:9">
      <c r="A347" s="109">
        <v>45119</v>
      </c>
      <c r="B347" s="112">
        <v>158.94</v>
      </c>
      <c r="C347" s="112">
        <v>158.94</v>
      </c>
      <c r="D347" s="112">
        <v>157.88</v>
      </c>
      <c r="E347" s="112">
        <v>158.08000000000001</v>
      </c>
      <c r="F347" s="112">
        <v>152.13</v>
      </c>
      <c r="G347" s="113">
        <v>6940400</v>
      </c>
      <c r="H347" s="107">
        <f t="shared" si="5"/>
        <v>-3.471767326084116E-3</v>
      </c>
      <c r="I347" s="47"/>
    </row>
    <row r="348" spans="1:9">
      <c r="A348" s="109">
        <v>45118</v>
      </c>
      <c r="B348" s="112">
        <v>159.13</v>
      </c>
      <c r="C348" s="112">
        <v>160.30000000000001</v>
      </c>
      <c r="D348" s="112">
        <v>157.6</v>
      </c>
      <c r="E348" s="112">
        <v>158.63</v>
      </c>
      <c r="F348" s="112">
        <v>152.66</v>
      </c>
      <c r="G348" s="113">
        <v>6607000</v>
      </c>
      <c r="H348" s="107">
        <f t="shared" si="5"/>
        <v>-5.4723127035830842E-3</v>
      </c>
      <c r="I348" s="47"/>
    </row>
    <row r="349" spans="1:9">
      <c r="A349" s="109">
        <v>45117</v>
      </c>
      <c r="B349" s="112">
        <v>159.43</v>
      </c>
      <c r="C349" s="112">
        <v>160.30000000000001</v>
      </c>
      <c r="D349" s="112">
        <v>159</v>
      </c>
      <c r="E349" s="112">
        <v>159.51</v>
      </c>
      <c r="F349" s="112">
        <v>153.5</v>
      </c>
      <c r="G349" s="113">
        <v>5739200</v>
      </c>
      <c r="H349" s="107">
        <f t="shared" si="5"/>
        <v>1.6313213703099511E-3</v>
      </c>
      <c r="I349" s="47"/>
    </row>
    <row r="350" spans="1:9">
      <c r="A350" s="109">
        <v>45114</v>
      </c>
      <c r="B350" s="112">
        <v>160.47</v>
      </c>
      <c r="C350" s="112">
        <v>161.04</v>
      </c>
      <c r="D350" s="112">
        <v>159.19999999999999</v>
      </c>
      <c r="E350" s="112">
        <v>159.25</v>
      </c>
      <c r="F350" s="112">
        <v>153.25</v>
      </c>
      <c r="G350" s="113">
        <v>7021700</v>
      </c>
      <c r="H350" s="107">
        <f t="shared" si="5"/>
        <v>-1.4532827470902135E-2</v>
      </c>
      <c r="I350" s="47"/>
    </row>
    <row r="351" spans="1:9">
      <c r="A351" s="109">
        <v>45113</v>
      </c>
      <c r="B351" s="112">
        <v>162.25</v>
      </c>
      <c r="C351" s="112">
        <v>162.37</v>
      </c>
      <c r="D351" s="112">
        <v>161</v>
      </c>
      <c r="E351" s="112">
        <v>161.6</v>
      </c>
      <c r="F351" s="112">
        <v>155.51</v>
      </c>
      <c r="G351" s="113">
        <v>6332500</v>
      </c>
      <c r="H351" s="107">
        <f t="shared" si="5"/>
        <v>-7.4674495787593557E-3</v>
      </c>
      <c r="I351" s="47"/>
    </row>
    <row r="352" spans="1:9">
      <c r="A352" s="109">
        <v>45112</v>
      </c>
      <c r="B352" s="112">
        <v>162.99</v>
      </c>
      <c r="C352" s="112">
        <v>163.92</v>
      </c>
      <c r="D352" s="112">
        <v>162.72999999999999</v>
      </c>
      <c r="E352" s="112">
        <v>162.81</v>
      </c>
      <c r="F352" s="112">
        <v>156.68</v>
      </c>
      <c r="G352" s="113">
        <v>7224600</v>
      </c>
      <c r="H352" s="107">
        <f t="shared" si="5"/>
        <v>-3.3078880407123529E-3</v>
      </c>
      <c r="I352" s="47"/>
    </row>
    <row r="353" spans="1:9">
      <c r="A353" s="109">
        <v>45110</v>
      </c>
      <c r="B353" s="112">
        <v>164.34</v>
      </c>
      <c r="C353" s="112">
        <v>164.39</v>
      </c>
      <c r="D353" s="112">
        <v>162.96</v>
      </c>
      <c r="E353" s="112">
        <v>163.35</v>
      </c>
      <c r="F353" s="112">
        <v>157.19999999999999</v>
      </c>
      <c r="G353" s="113">
        <v>4033700</v>
      </c>
      <c r="H353" s="107">
        <f t="shared" si="5"/>
        <v>-1.312072320924103E-2</v>
      </c>
      <c r="I353" s="47"/>
    </row>
    <row r="354" spans="1:9">
      <c r="A354" s="109">
        <v>45107</v>
      </c>
      <c r="B354" s="112">
        <v>164.86</v>
      </c>
      <c r="C354" s="112">
        <v>165.94</v>
      </c>
      <c r="D354" s="112">
        <v>164.35</v>
      </c>
      <c r="E354" s="112">
        <v>165.52</v>
      </c>
      <c r="F354" s="112">
        <v>159.29</v>
      </c>
      <c r="G354" s="113">
        <v>7580000</v>
      </c>
      <c r="H354" s="107">
        <f t="shared" si="5"/>
        <v>8.6752786220871628E-3</v>
      </c>
      <c r="I354" s="47"/>
    </row>
    <row r="355" spans="1:9">
      <c r="A355" s="109">
        <v>45106</v>
      </c>
      <c r="B355" s="112">
        <v>162.63999999999999</v>
      </c>
      <c r="C355" s="112">
        <v>164.32</v>
      </c>
      <c r="D355" s="112">
        <v>162.22999999999999</v>
      </c>
      <c r="E355" s="112">
        <v>164.1</v>
      </c>
      <c r="F355" s="112">
        <v>157.91999999999999</v>
      </c>
      <c r="G355" s="113">
        <v>4547500</v>
      </c>
      <c r="H355" s="107">
        <f t="shared" si="5"/>
        <v>7.0144114271138529E-3</v>
      </c>
      <c r="I355" s="47"/>
    </row>
    <row r="356" spans="1:9">
      <c r="A356" s="109">
        <v>45105</v>
      </c>
      <c r="B356" s="112">
        <v>163.19999999999999</v>
      </c>
      <c r="C356" s="112">
        <v>163.19999999999999</v>
      </c>
      <c r="D356" s="112">
        <v>161.91</v>
      </c>
      <c r="E356" s="112">
        <v>162.96</v>
      </c>
      <c r="F356" s="112">
        <v>156.82</v>
      </c>
      <c r="G356" s="113">
        <v>6780400</v>
      </c>
      <c r="H356" s="107">
        <f t="shared" si="5"/>
        <v>-2.0364006618301717E-3</v>
      </c>
      <c r="I356" s="47"/>
    </row>
    <row r="357" spans="1:9">
      <c r="A357" s="109">
        <v>45104</v>
      </c>
      <c r="B357" s="112">
        <v>163.68</v>
      </c>
      <c r="C357" s="112">
        <v>163.88</v>
      </c>
      <c r="D357" s="112">
        <v>162.44</v>
      </c>
      <c r="E357" s="112">
        <v>163.29</v>
      </c>
      <c r="F357" s="112">
        <v>157.13999999999999</v>
      </c>
      <c r="G357" s="113">
        <v>4927500</v>
      </c>
      <c r="H357" s="107">
        <f t="shared" si="5"/>
        <v>-2.095637264240887E-3</v>
      </c>
      <c r="I357" s="47"/>
    </row>
    <row r="358" spans="1:9">
      <c r="A358" s="109">
        <v>45103</v>
      </c>
      <c r="B358" s="112">
        <v>164.98</v>
      </c>
      <c r="C358" s="112">
        <v>164.98</v>
      </c>
      <c r="D358" s="112">
        <v>161.33000000000001</v>
      </c>
      <c r="E358" s="112">
        <v>163.63</v>
      </c>
      <c r="F358" s="112">
        <v>157.47</v>
      </c>
      <c r="G358" s="113">
        <v>6978800</v>
      </c>
      <c r="H358" s="107">
        <f t="shared" si="5"/>
        <v>-1.11773940345369E-2</v>
      </c>
      <c r="I358" s="47"/>
    </row>
    <row r="359" spans="1:9">
      <c r="A359" s="109">
        <v>45100</v>
      </c>
      <c r="B359" s="112">
        <v>166.11</v>
      </c>
      <c r="C359" s="112">
        <v>166.27</v>
      </c>
      <c r="D359" s="112">
        <v>165.03</v>
      </c>
      <c r="E359" s="112">
        <v>165.48</v>
      </c>
      <c r="F359" s="112">
        <v>159.25</v>
      </c>
      <c r="G359" s="113">
        <v>9450700</v>
      </c>
      <c r="H359" s="107">
        <f t="shared" si="5"/>
        <v>-8.1566068515494705E-4</v>
      </c>
      <c r="I359" s="47"/>
    </row>
    <row r="360" spans="1:9">
      <c r="A360" s="109">
        <v>45099</v>
      </c>
      <c r="B360" s="112">
        <v>163.9</v>
      </c>
      <c r="C360" s="112">
        <v>165.72</v>
      </c>
      <c r="D360" s="112">
        <v>163.79</v>
      </c>
      <c r="E360" s="112">
        <v>165.62</v>
      </c>
      <c r="F360" s="112">
        <v>159.38</v>
      </c>
      <c r="G360" s="113">
        <v>5485900</v>
      </c>
      <c r="H360" s="107">
        <f t="shared" si="5"/>
        <v>1.0589055862025156E-2</v>
      </c>
      <c r="I360" s="47"/>
    </row>
    <row r="361" spans="1:9">
      <c r="A361" s="109">
        <v>45098</v>
      </c>
      <c r="B361" s="112">
        <v>163.58000000000001</v>
      </c>
      <c r="C361" s="112">
        <v>164.92</v>
      </c>
      <c r="D361" s="112">
        <v>162.69</v>
      </c>
      <c r="E361" s="112">
        <v>163.88</v>
      </c>
      <c r="F361" s="112">
        <v>157.71</v>
      </c>
      <c r="G361" s="113">
        <v>7177500</v>
      </c>
      <c r="H361" s="107">
        <f t="shared" si="5"/>
        <v>-1.5194681861347306E-3</v>
      </c>
      <c r="I361" s="47"/>
    </row>
    <row r="362" spans="1:9">
      <c r="A362" s="109">
        <v>45097</v>
      </c>
      <c r="B362" s="112">
        <v>164.26</v>
      </c>
      <c r="C362" s="112">
        <v>165.31</v>
      </c>
      <c r="D362" s="112">
        <v>163.81</v>
      </c>
      <c r="E362" s="112">
        <v>164.13</v>
      </c>
      <c r="F362" s="112">
        <v>157.94999999999999</v>
      </c>
      <c r="G362" s="113">
        <v>7995800</v>
      </c>
      <c r="H362" s="107">
        <f t="shared" si="5"/>
        <v>-6.3271116735224761E-4</v>
      </c>
      <c r="I362" s="47"/>
    </row>
    <row r="363" spans="1:9">
      <c r="A363" s="109">
        <v>45093</v>
      </c>
      <c r="B363" s="112">
        <v>164.48</v>
      </c>
      <c r="C363" s="112">
        <v>164.99</v>
      </c>
      <c r="D363" s="112">
        <v>163.87</v>
      </c>
      <c r="E363" s="112">
        <v>164.23</v>
      </c>
      <c r="F363" s="112">
        <v>158.05000000000001</v>
      </c>
      <c r="G363" s="113">
        <v>13425100</v>
      </c>
      <c r="H363" s="107">
        <f t="shared" si="5"/>
        <v>3.1099263772531678E-3</v>
      </c>
      <c r="I363" s="47"/>
    </row>
    <row r="364" spans="1:9">
      <c r="A364" s="109">
        <v>45092</v>
      </c>
      <c r="B364" s="112">
        <v>162.05000000000001</v>
      </c>
      <c r="C364" s="112">
        <v>163.91</v>
      </c>
      <c r="D364" s="112">
        <v>161.43</v>
      </c>
      <c r="E364" s="112">
        <v>163.72999999999999</v>
      </c>
      <c r="F364" s="112">
        <v>157.56</v>
      </c>
      <c r="G364" s="113">
        <v>7138300</v>
      </c>
      <c r="H364" s="107">
        <f t="shared" si="5"/>
        <v>1.3377926421404764E-2</v>
      </c>
      <c r="I364" s="47"/>
    </row>
    <row r="365" spans="1:9">
      <c r="A365" s="109">
        <v>45091</v>
      </c>
      <c r="B365" s="112">
        <v>161.6</v>
      </c>
      <c r="C365" s="112">
        <v>162.08000000000001</v>
      </c>
      <c r="D365" s="112">
        <v>160.97999999999999</v>
      </c>
      <c r="E365" s="112">
        <v>161.56</v>
      </c>
      <c r="F365" s="112">
        <v>155.47999999999999</v>
      </c>
      <c r="G365" s="113">
        <v>6699100</v>
      </c>
      <c r="H365" s="107">
        <f t="shared" si="5"/>
        <v>5.1069881698881121E-3</v>
      </c>
      <c r="I365" s="47"/>
    </row>
    <row r="366" spans="1:9">
      <c r="A366" s="109">
        <v>45090</v>
      </c>
      <c r="B366" s="112">
        <v>159.72999999999999</v>
      </c>
      <c r="C366" s="112">
        <v>160.84</v>
      </c>
      <c r="D366" s="112">
        <v>159.15</v>
      </c>
      <c r="E366" s="112">
        <v>160.74</v>
      </c>
      <c r="F366" s="112">
        <v>154.69</v>
      </c>
      <c r="G366" s="113">
        <v>6066800</v>
      </c>
      <c r="H366" s="107">
        <f t="shared" si="5"/>
        <v>5.2638419547699654E-3</v>
      </c>
      <c r="I366" s="47"/>
    </row>
    <row r="367" spans="1:9">
      <c r="A367" s="109">
        <v>45089</v>
      </c>
      <c r="B367" s="112">
        <v>160</v>
      </c>
      <c r="C367" s="112">
        <v>160.25</v>
      </c>
      <c r="D367" s="112">
        <v>158.72999999999999</v>
      </c>
      <c r="E367" s="112">
        <v>159.9</v>
      </c>
      <c r="F367" s="112">
        <v>153.88</v>
      </c>
      <c r="G367" s="113">
        <v>6510600</v>
      </c>
      <c r="H367" s="107">
        <f t="shared" si="5"/>
        <v>-6.4943499155730821E-4</v>
      </c>
      <c r="I367" s="47"/>
    </row>
    <row r="368" spans="1:9">
      <c r="A368" s="109">
        <v>45086</v>
      </c>
      <c r="B368" s="112">
        <v>160.41999999999999</v>
      </c>
      <c r="C368" s="112">
        <v>160.72999999999999</v>
      </c>
      <c r="D368" s="112">
        <v>159.47</v>
      </c>
      <c r="E368" s="112">
        <v>160.01</v>
      </c>
      <c r="F368" s="112">
        <v>153.97999999999999</v>
      </c>
      <c r="G368" s="113">
        <v>6264400</v>
      </c>
      <c r="H368" s="107">
        <f t="shared" si="5"/>
        <v>-1.5562183893140259E-3</v>
      </c>
      <c r="I368" s="47"/>
    </row>
    <row r="369" spans="1:9">
      <c r="A369" s="109">
        <v>45085</v>
      </c>
      <c r="B369" s="112">
        <v>158.5</v>
      </c>
      <c r="C369" s="112">
        <v>160.41999999999999</v>
      </c>
      <c r="D369" s="112">
        <v>157.82</v>
      </c>
      <c r="E369" s="112">
        <v>160.26</v>
      </c>
      <c r="F369" s="112">
        <v>154.22</v>
      </c>
      <c r="G369" s="113">
        <v>5818400</v>
      </c>
      <c r="H369" s="107">
        <f t="shared" si="5"/>
        <v>1.0947230416256882E-2</v>
      </c>
      <c r="I369" s="47"/>
    </row>
    <row r="370" spans="1:9">
      <c r="A370" s="109">
        <v>45084</v>
      </c>
      <c r="B370" s="112">
        <v>158.1</v>
      </c>
      <c r="C370" s="112">
        <v>158.80000000000001</v>
      </c>
      <c r="D370" s="112">
        <v>157.44</v>
      </c>
      <c r="E370" s="112">
        <v>158.52000000000001</v>
      </c>
      <c r="F370" s="112">
        <v>152.55000000000001</v>
      </c>
      <c r="G370" s="113">
        <v>6504300</v>
      </c>
      <c r="H370" s="107">
        <f t="shared" si="5"/>
        <v>2.1679148600710321E-3</v>
      </c>
      <c r="I370" s="47"/>
    </row>
    <row r="371" spans="1:9">
      <c r="A371" s="109">
        <v>45083</v>
      </c>
      <c r="B371" s="112">
        <v>159.58000000000001</v>
      </c>
      <c r="C371" s="112">
        <v>159.61000000000001</v>
      </c>
      <c r="D371" s="112">
        <v>157.4</v>
      </c>
      <c r="E371" s="112">
        <v>158.18</v>
      </c>
      <c r="F371" s="112">
        <v>152.22</v>
      </c>
      <c r="G371" s="113">
        <v>5073600</v>
      </c>
      <c r="H371" s="107">
        <f t="shared" si="5"/>
        <v>-9.1887634549760286E-4</v>
      </c>
      <c r="I371" s="47"/>
    </row>
    <row r="372" spans="1:9">
      <c r="A372" s="109">
        <v>45082</v>
      </c>
      <c r="B372" s="112">
        <v>156.75</v>
      </c>
      <c r="C372" s="112">
        <v>158.63999999999999</v>
      </c>
      <c r="D372" s="112">
        <v>156.75</v>
      </c>
      <c r="E372" s="112">
        <v>158.32</v>
      </c>
      <c r="F372" s="112">
        <v>152.36000000000001</v>
      </c>
      <c r="G372" s="113">
        <v>6430500</v>
      </c>
      <c r="H372" s="107">
        <f t="shared" si="5"/>
        <v>8.6058519793460308E-3</v>
      </c>
      <c r="I372" s="47"/>
    </row>
    <row r="373" spans="1:9">
      <c r="A373" s="109">
        <v>45079</v>
      </c>
      <c r="B373" s="112">
        <v>154.72</v>
      </c>
      <c r="C373" s="112">
        <v>157.31</v>
      </c>
      <c r="D373" s="112">
        <v>154.09</v>
      </c>
      <c r="E373" s="112">
        <v>156.97</v>
      </c>
      <c r="F373" s="112">
        <v>151.06</v>
      </c>
      <c r="G373" s="113">
        <v>7657200</v>
      </c>
      <c r="H373" s="107">
        <f t="shared" si="5"/>
        <v>1.5734265734265757E-2</v>
      </c>
      <c r="I373" s="47"/>
    </row>
    <row r="374" spans="1:9">
      <c r="A374" s="109">
        <v>45078</v>
      </c>
      <c r="B374" s="112">
        <v>154.54</v>
      </c>
      <c r="C374" s="112">
        <v>155.04</v>
      </c>
      <c r="D374" s="112">
        <v>153.15</v>
      </c>
      <c r="E374" s="112">
        <v>154.54</v>
      </c>
      <c r="F374" s="112">
        <v>148.72</v>
      </c>
      <c r="G374" s="113">
        <v>7901300</v>
      </c>
      <c r="H374" s="107">
        <f t="shared" si="5"/>
        <v>-3.3507572711432786E-3</v>
      </c>
      <c r="I374" s="47"/>
    </row>
    <row r="375" spans="1:9">
      <c r="A375" s="109">
        <v>45077</v>
      </c>
      <c r="B375" s="112">
        <v>154.69999999999999</v>
      </c>
      <c r="C375" s="112">
        <v>155.69</v>
      </c>
      <c r="D375" s="112">
        <v>153.85</v>
      </c>
      <c r="E375" s="112">
        <v>155.06</v>
      </c>
      <c r="F375" s="112">
        <v>149.22</v>
      </c>
      <c r="G375" s="113">
        <v>11324600</v>
      </c>
      <c r="H375" s="107">
        <f t="shared" si="5"/>
        <v>4.4426494345718671E-3</v>
      </c>
      <c r="I375" s="47"/>
    </row>
    <row r="376" spans="1:9">
      <c r="A376" s="109">
        <v>45076</v>
      </c>
      <c r="B376" s="112">
        <v>153.97</v>
      </c>
      <c r="C376" s="112">
        <v>155.38</v>
      </c>
      <c r="D376" s="112">
        <v>153.32</v>
      </c>
      <c r="E376" s="112">
        <v>154.37</v>
      </c>
      <c r="F376" s="112">
        <v>148.56</v>
      </c>
      <c r="G376" s="113">
        <v>5593100</v>
      </c>
      <c r="H376" s="107">
        <f t="shared" si="5"/>
        <v>1.3464386697192832E-4</v>
      </c>
      <c r="I376" s="47"/>
    </row>
    <row r="377" spans="1:9">
      <c r="A377" s="109">
        <v>45072</v>
      </c>
      <c r="B377" s="112">
        <v>154.69</v>
      </c>
      <c r="C377" s="112">
        <v>155.28</v>
      </c>
      <c r="D377" s="112">
        <v>154.19999999999999</v>
      </c>
      <c r="E377" s="112">
        <v>154.35</v>
      </c>
      <c r="F377" s="112">
        <v>148.54</v>
      </c>
      <c r="G377" s="113">
        <v>6845400</v>
      </c>
      <c r="H377" s="107">
        <f t="shared" si="5"/>
        <v>-4.037685060565429E-4</v>
      </c>
      <c r="I377" s="47"/>
    </row>
    <row r="378" spans="1:9">
      <c r="A378" s="109">
        <v>45071</v>
      </c>
      <c r="B378" s="112">
        <v>156.05000000000001</v>
      </c>
      <c r="C378" s="112">
        <v>156.29</v>
      </c>
      <c r="D378" s="112">
        <v>153.72</v>
      </c>
      <c r="E378" s="112">
        <v>154.41</v>
      </c>
      <c r="F378" s="112">
        <v>148.6</v>
      </c>
      <c r="G378" s="113">
        <v>6886100</v>
      </c>
      <c r="H378" s="107">
        <f t="shared" si="5"/>
        <v>-1.4327407800477558E-2</v>
      </c>
      <c r="I378" s="47"/>
    </row>
    <row r="379" spans="1:9">
      <c r="A379" s="109">
        <v>45070</v>
      </c>
      <c r="B379" s="112">
        <v>157.08000000000001</v>
      </c>
      <c r="C379" s="112">
        <v>157.13999999999999</v>
      </c>
      <c r="D379" s="112">
        <v>155.91999999999999</v>
      </c>
      <c r="E379" s="112">
        <v>156.66</v>
      </c>
      <c r="F379" s="112">
        <v>150.76</v>
      </c>
      <c r="G379" s="113">
        <v>5015100</v>
      </c>
      <c r="H379" s="107">
        <f t="shared" si="5"/>
        <v>-9.2776673293581697E-4</v>
      </c>
      <c r="I379" s="47"/>
    </row>
    <row r="380" spans="1:9">
      <c r="A380" s="109">
        <v>45069</v>
      </c>
      <c r="B380" s="112">
        <v>157.1</v>
      </c>
      <c r="C380" s="112">
        <v>158.27000000000001</v>
      </c>
      <c r="D380" s="112">
        <v>156.37</v>
      </c>
      <c r="E380" s="112">
        <v>156.81</v>
      </c>
      <c r="F380" s="112">
        <v>150.9</v>
      </c>
      <c r="G380" s="113">
        <v>5793000</v>
      </c>
      <c r="H380" s="107">
        <f t="shared" si="5"/>
        <v>-3.9745627980923603E-4</v>
      </c>
      <c r="I380" s="47"/>
    </row>
    <row r="381" spans="1:9">
      <c r="A381" s="109">
        <v>45068</v>
      </c>
      <c r="B381" s="112">
        <v>158</v>
      </c>
      <c r="C381" s="112">
        <v>159.13999999999999</v>
      </c>
      <c r="D381" s="112">
        <v>156.78</v>
      </c>
      <c r="E381" s="112">
        <v>156.87</v>
      </c>
      <c r="F381" s="112">
        <v>150.96</v>
      </c>
      <c r="G381" s="113">
        <v>5675900</v>
      </c>
      <c r="H381" s="107">
        <f t="shared" si="5"/>
        <v>-5.4025563315324363E-3</v>
      </c>
      <c r="I381" s="47"/>
    </row>
    <row r="382" spans="1:9">
      <c r="A382" s="109">
        <v>45065</v>
      </c>
      <c r="B382" s="112">
        <v>158.59</v>
      </c>
      <c r="C382" s="112">
        <v>159.93</v>
      </c>
      <c r="D382" s="112">
        <v>158.13999999999999</v>
      </c>
      <c r="E382" s="112">
        <v>158.91</v>
      </c>
      <c r="F382" s="112">
        <v>151.78</v>
      </c>
      <c r="G382" s="113">
        <v>6524000</v>
      </c>
      <c r="H382" s="107">
        <f t="shared" si="5"/>
        <v>2.7085948338508065E-3</v>
      </c>
      <c r="I382" s="47"/>
    </row>
    <row r="383" spans="1:9">
      <c r="A383" s="109">
        <v>45064</v>
      </c>
      <c r="B383" s="112">
        <v>158.66</v>
      </c>
      <c r="C383" s="112">
        <v>158.93</v>
      </c>
      <c r="D383" s="112">
        <v>157.56</v>
      </c>
      <c r="E383" s="112">
        <v>158.47999999999999</v>
      </c>
      <c r="F383" s="112">
        <v>151.37</v>
      </c>
      <c r="G383" s="113">
        <v>5173000</v>
      </c>
      <c r="H383" s="107">
        <f t="shared" si="5"/>
        <v>-3.2266561306467079E-3</v>
      </c>
      <c r="I383" s="47"/>
    </row>
    <row r="384" spans="1:9">
      <c r="A384" s="109">
        <v>45063</v>
      </c>
      <c r="B384" s="112">
        <v>159.79</v>
      </c>
      <c r="C384" s="112">
        <v>160.06</v>
      </c>
      <c r="D384" s="112">
        <v>157.77000000000001</v>
      </c>
      <c r="E384" s="112">
        <v>158.99</v>
      </c>
      <c r="F384" s="112">
        <v>151.86000000000001</v>
      </c>
      <c r="G384" s="113">
        <v>6840700</v>
      </c>
      <c r="H384" s="107">
        <f t="shared" si="5"/>
        <v>-2.1683422038240624E-3</v>
      </c>
      <c r="I384" s="47"/>
    </row>
    <row r="385" spans="1:9">
      <c r="A385" s="109">
        <v>45062</v>
      </c>
      <c r="B385" s="112">
        <v>159.06</v>
      </c>
      <c r="C385" s="112">
        <v>160.25</v>
      </c>
      <c r="D385" s="112">
        <v>158.53</v>
      </c>
      <c r="E385" s="112">
        <v>159.34</v>
      </c>
      <c r="F385" s="112">
        <v>152.19</v>
      </c>
      <c r="G385" s="113">
        <v>5599200</v>
      </c>
      <c r="H385" s="107">
        <f t="shared" si="5"/>
        <v>-1.312422074939226E-3</v>
      </c>
      <c r="I385" s="47"/>
    </row>
    <row r="386" spans="1:9">
      <c r="A386" s="109">
        <v>45061</v>
      </c>
      <c r="B386" s="112">
        <v>160.80000000000001</v>
      </c>
      <c r="C386" s="112">
        <v>161.03</v>
      </c>
      <c r="D386" s="112">
        <v>158.94</v>
      </c>
      <c r="E386" s="112">
        <v>159.55000000000001</v>
      </c>
      <c r="F386" s="112">
        <v>152.38999999999999</v>
      </c>
      <c r="G386" s="113">
        <v>5104500</v>
      </c>
      <c r="H386" s="107">
        <f t="shared" si="5"/>
        <v>-7.6837924073712765E-3</v>
      </c>
      <c r="I386" s="47"/>
    </row>
    <row r="387" spans="1:9">
      <c r="A387" s="109">
        <v>45058</v>
      </c>
      <c r="B387" s="112">
        <v>161.36000000000001</v>
      </c>
      <c r="C387" s="112">
        <v>161.56</v>
      </c>
      <c r="D387" s="112">
        <v>160.01</v>
      </c>
      <c r="E387" s="112">
        <v>160.78</v>
      </c>
      <c r="F387" s="112">
        <v>153.57</v>
      </c>
      <c r="G387" s="113">
        <v>3904200</v>
      </c>
      <c r="H387" s="107">
        <f t="shared" ref="H387:H450" si="6">(F387-F388)/F388</f>
        <v>-1.3006438186903624E-3</v>
      </c>
      <c r="I387" s="47"/>
    </row>
    <row r="388" spans="1:9">
      <c r="A388" s="109">
        <v>45057</v>
      </c>
      <c r="B388" s="112">
        <v>161.83000000000001</v>
      </c>
      <c r="C388" s="112">
        <v>162.19</v>
      </c>
      <c r="D388" s="112">
        <v>159.38999999999999</v>
      </c>
      <c r="E388" s="112">
        <v>160.99</v>
      </c>
      <c r="F388" s="112">
        <v>153.77000000000001</v>
      </c>
      <c r="G388" s="113">
        <v>5867600</v>
      </c>
      <c r="H388" s="107">
        <f t="shared" si="6"/>
        <v>-4.0803108808289863E-3</v>
      </c>
      <c r="I388" s="47"/>
    </row>
    <row r="389" spans="1:9">
      <c r="A389" s="109">
        <v>45056</v>
      </c>
      <c r="B389" s="112">
        <v>161.19999999999999</v>
      </c>
      <c r="C389" s="112">
        <v>161.97</v>
      </c>
      <c r="D389" s="112">
        <v>160.06</v>
      </c>
      <c r="E389" s="112">
        <v>161.65</v>
      </c>
      <c r="F389" s="112">
        <v>154.4</v>
      </c>
      <c r="G389" s="113">
        <v>6756600</v>
      </c>
      <c r="H389" s="107">
        <f t="shared" si="6"/>
        <v>3.7706410089716068E-3</v>
      </c>
      <c r="I389" s="47"/>
    </row>
    <row r="390" spans="1:9">
      <c r="A390" s="109">
        <v>45055</v>
      </c>
      <c r="B390" s="112">
        <v>161.75</v>
      </c>
      <c r="C390" s="112">
        <v>162.13</v>
      </c>
      <c r="D390" s="112">
        <v>160.79</v>
      </c>
      <c r="E390" s="112">
        <v>161.05000000000001</v>
      </c>
      <c r="F390" s="112">
        <v>153.82</v>
      </c>
      <c r="G390" s="113">
        <v>5520500</v>
      </c>
      <c r="H390" s="107">
        <f t="shared" si="6"/>
        <v>-7.8049409791653744E-3</v>
      </c>
      <c r="I390" s="47"/>
    </row>
    <row r="391" spans="1:9">
      <c r="A391" s="109">
        <v>45054</v>
      </c>
      <c r="B391" s="112">
        <v>161.99</v>
      </c>
      <c r="C391" s="112">
        <v>162.57</v>
      </c>
      <c r="D391" s="112">
        <v>161.34</v>
      </c>
      <c r="E391" s="112">
        <v>162.31</v>
      </c>
      <c r="F391" s="112">
        <v>155.03</v>
      </c>
      <c r="G391" s="113">
        <v>4994900</v>
      </c>
      <c r="H391" s="107">
        <f t="shared" si="6"/>
        <v>-2.2525421547174304E-3</v>
      </c>
      <c r="I391" s="47"/>
    </row>
    <row r="392" spans="1:9">
      <c r="A392" s="109">
        <v>45051</v>
      </c>
      <c r="B392" s="112">
        <v>162.84</v>
      </c>
      <c r="C392" s="112">
        <v>163.13</v>
      </c>
      <c r="D392" s="112">
        <v>161.69</v>
      </c>
      <c r="E392" s="112">
        <v>162.68</v>
      </c>
      <c r="F392" s="112">
        <v>155.38</v>
      </c>
      <c r="G392" s="113">
        <v>5193700</v>
      </c>
      <c r="H392" s="107">
        <f t="shared" si="6"/>
        <v>3.3578716259846427E-3</v>
      </c>
      <c r="I392" s="47"/>
    </row>
    <row r="393" spans="1:9">
      <c r="A393" s="109">
        <v>45050</v>
      </c>
      <c r="B393" s="112">
        <v>162.68</v>
      </c>
      <c r="C393" s="112">
        <v>162.9</v>
      </c>
      <c r="D393" s="112">
        <v>161.25</v>
      </c>
      <c r="E393" s="112">
        <v>162.13</v>
      </c>
      <c r="F393" s="112">
        <v>154.86000000000001</v>
      </c>
      <c r="G393" s="113">
        <v>5128000</v>
      </c>
      <c r="H393" s="107">
        <f t="shared" si="6"/>
        <v>-4.49987143224472E-3</v>
      </c>
      <c r="I393" s="47"/>
    </row>
    <row r="394" spans="1:9">
      <c r="A394" s="109">
        <v>45049</v>
      </c>
      <c r="B394" s="112">
        <v>165.55</v>
      </c>
      <c r="C394" s="112">
        <v>166.18</v>
      </c>
      <c r="D394" s="112">
        <v>162.51</v>
      </c>
      <c r="E394" s="112">
        <v>162.87</v>
      </c>
      <c r="F394" s="112">
        <v>155.56</v>
      </c>
      <c r="G394" s="113">
        <v>5937200</v>
      </c>
      <c r="H394" s="107">
        <f t="shared" si="6"/>
        <v>-1.3132018016874917E-2</v>
      </c>
      <c r="I394" s="47"/>
    </row>
    <row r="395" spans="1:9">
      <c r="A395" s="109">
        <v>45048</v>
      </c>
      <c r="B395" s="112">
        <v>164.34</v>
      </c>
      <c r="C395" s="112">
        <v>165.48</v>
      </c>
      <c r="D395" s="112">
        <v>163.56</v>
      </c>
      <c r="E395" s="112">
        <v>165.03</v>
      </c>
      <c r="F395" s="112">
        <v>157.63</v>
      </c>
      <c r="G395" s="113">
        <v>7541700</v>
      </c>
      <c r="H395" s="107">
        <f t="shared" si="6"/>
        <v>8.7674388839114586E-3</v>
      </c>
      <c r="I395" s="47"/>
    </row>
    <row r="396" spans="1:9">
      <c r="A396" s="109">
        <v>45047</v>
      </c>
      <c r="B396" s="112">
        <v>163.6</v>
      </c>
      <c r="C396" s="112">
        <v>164.3</v>
      </c>
      <c r="D396" s="112">
        <v>162.24</v>
      </c>
      <c r="E396" s="112">
        <v>163.6</v>
      </c>
      <c r="F396" s="112">
        <v>156.26</v>
      </c>
      <c r="G396" s="113">
        <v>4893400</v>
      </c>
      <c r="H396" s="107">
        <f t="shared" si="6"/>
        <v>-6.3954975697123775E-4</v>
      </c>
      <c r="I396" s="47"/>
    </row>
    <row r="397" spans="1:9">
      <c r="A397" s="109">
        <v>45044</v>
      </c>
      <c r="B397" s="112">
        <v>162.81</v>
      </c>
      <c r="C397" s="112">
        <v>163.76</v>
      </c>
      <c r="D397" s="112">
        <v>162.56</v>
      </c>
      <c r="E397" s="112">
        <v>163.69999999999999</v>
      </c>
      <c r="F397" s="112">
        <v>156.36000000000001</v>
      </c>
      <c r="G397" s="113">
        <v>6023400</v>
      </c>
      <c r="H397" s="107">
        <f t="shared" si="6"/>
        <v>4.3034234697155622E-3</v>
      </c>
      <c r="I397" s="47"/>
    </row>
    <row r="398" spans="1:9">
      <c r="A398" s="109">
        <v>45043</v>
      </c>
      <c r="B398" s="112">
        <v>162.9</v>
      </c>
      <c r="C398" s="112">
        <v>163.41</v>
      </c>
      <c r="D398" s="112">
        <v>162.13</v>
      </c>
      <c r="E398" s="112">
        <v>163</v>
      </c>
      <c r="F398" s="112">
        <v>155.69</v>
      </c>
      <c r="G398" s="113">
        <v>5739700</v>
      </c>
      <c r="H398" s="107">
        <f t="shared" si="6"/>
        <v>2.3821787277878222E-3</v>
      </c>
      <c r="I398" s="47"/>
    </row>
    <row r="399" spans="1:9">
      <c r="A399" s="109">
        <v>45042</v>
      </c>
      <c r="B399" s="112">
        <v>164.09</v>
      </c>
      <c r="C399" s="112">
        <v>164.39</v>
      </c>
      <c r="D399" s="112">
        <v>162.24</v>
      </c>
      <c r="E399" s="112">
        <v>162.62</v>
      </c>
      <c r="F399" s="112">
        <v>155.32</v>
      </c>
      <c r="G399" s="113">
        <v>5518200</v>
      </c>
      <c r="H399" s="107">
        <f t="shared" si="6"/>
        <v>-1.5528934524941477E-2</v>
      </c>
      <c r="I399" s="47"/>
    </row>
    <row r="400" spans="1:9">
      <c r="A400" s="109">
        <v>45041</v>
      </c>
      <c r="B400" s="112">
        <v>164.31</v>
      </c>
      <c r="C400" s="112">
        <v>165.35</v>
      </c>
      <c r="D400" s="112">
        <v>164.16</v>
      </c>
      <c r="E400" s="112">
        <v>165.18</v>
      </c>
      <c r="F400" s="112">
        <v>157.77000000000001</v>
      </c>
      <c r="G400" s="113">
        <v>6263100</v>
      </c>
      <c r="H400" s="107">
        <f t="shared" si="6"/>
        <v>9.1467314826660286E-3</v>
      </c>
      <c r="I400" s="47"/>
    </row>
    <row r="401" spans="1:9">
      <c r="A401" s="109">
        <v>45040</v>
      </c>
      <c r="B401" s="112">
        <v>162.69</v>
      </c>
      <c r="C401" s="112">
        <v>163.81</v>
      </c>
      <c r="D401" s="112">
        <v>161.87</v>
      </c>
      <c r="E401" s="112">
        <v>163.68</v>
      </c>
      <c r="F401" s="112">
        <v>156.34</v>
      </c>
      <c r="G401" s="113">
        <v>5278900</v>
      </c>
      <c r="H401" s="107">
        <f t="shared" si="6"/>
        <v>6.1136495269966994E-3</v>
      </c>
      <c r="I401" s="47"/>
    </row>
    <row r="402" spans="1:9">
      <c r="A402" s="109">
        <v>45037</v>
      </c>
      <c r="B402" s="112">
        <v>164.44</v>
      </c>
      <c r="C402" s="112">
        <v>164.97</v>
      </c>
      <c r="D402" s="112">
        <v>161.97</v>
      </c>
      <c r="E402" s="112">
        <v>162.69</v>
      </c>
      <c r="F402" s="112">
        <v>155.38999999999999</v>
      </c>
      <c r="G402" s="113">
        <v>7014200</v>
      </c>
      <c r="H402" s="107">
        <f t="shared" si="6"/>
        <v>-5.4403481822838115E-3</v>
      </c>
      <c r="I402" s="47"/>
    </row>
    <row r="403" spans="1:9">
      <c r="A403" s="109">
        <v>45036</v>
      </c>
      <c r="B403" s="112">
        <v>162.43</v>
      </c>
      <c r="C403" s="112">
        <v>163.82</v>
      </c>
      <c r="D403" s="112">
        <v>160.96</v>
      </c>
      <c r="E403" s="112">
        <v>163.58000000000001</v>
      </c>
      <c r="F403" s="112">
        <v>156.24</v>
      </c>
      <c r="G403" s="113">
        <v>9498800</v>
      </c>
      <c r="H403" s="107">
        <f t="shared" si="6"/>
        <v>6.4416387528987368E-3</v>
      </c>
      <c r="I403" s="47"/>
    </row>
    <row r="404" spans="1:9">
      <c r="A404" s="109">
        <v>45035</v>
      </c>
      <c r="B404" s="112">
        <v>161.99</v>
      </c>
      <c r="C404" s="112">
        <v>162.68</v>
      </c>
      <c r="D404" s="112">
        <v>161.16999999999999</v>
      </c>
      <c r="E404" s="112">
        <v>162.53</v>
      </c>
      <c r="F404" s="112">
        <v>155.24</v>
      </c>
      <c r="G404" s="113">
        <v>6752000</v>
      </c>
      <c r="H404" s="107">
        <f t="shared" si="6"/>
        <v>9.4284413811042151E-3</v>
      </c>
      <c r="I404" s="47"/>
    </row>
    <row r="405" spans="1:9">
      <c r="A405" s="109">
        <v>45034</v>
      </c>
      <c r="B405" s="112">
        <v>164.25</v>
      </c>
      <c r="C405" s="112">
        <v>164.69</v>
      </c>
      <c r="D405" s="112">
        <v>159.65</v>
      </c>
      <c r="E405" s="112">
        <v>161.01</v>
      </c>
      <c r="F405" s="112">
        <v>153.79</v>
      </c>
      <c r="G405" s="113">
        <v>14571500</v>
      </c>
      <c r="H405" s="107">
        <f t="shared" si="6"/>
        <v>-2.812184024266947E-2</v>
      </c>
      <c r="I405" s="47"/>
    </row>
    <row r="406" spans="1:9">
      <c r="A406" s="109">
        <v>45033</v>
      </c>
      <c r="B406" s="112">
        <v>165.74</v>
      </c>
      <c r="C406" s="112">
        <v>166.24</v>
      </c>
      <c r="D406" s="112">
        <v>164.94</v>
      </c>
      <c r="E406" s="112">
        <v>165.67</v>
      </c>
      <c r="F406" s="112">
        <v>158.24</v>
      </c>
      <c r="G406" s="113">
        <v>8046400</v>
      </c>
      <c r="H406" s="107">
        <f t="shared" si="6"/>
        <v>-1.0101010101009886E-3</v>
      </c>
      <c r="I406" s="47"/>
    </row>
    <row r="407" spans="1:9">
      <c r="A407" s="109">
        <v>45030</v>
      </c>
      <c r="B407" s="112">
        <v>165.97</v>
      </c>
      <c r="C407" s="112">
        <v>166.12</v>
      </c>
      <c r="D407" s="112">
        <v>164.06</v>
      </c>
      <c r="E407" s="112">
        <v>165.84</v>
      </c>
      <c r="F407" s="112">
        <v>158.4</v>
      </c>
      <c r="G407" s="113">
        <v>7225100</v>
      </c>
      <c r="H407" s="107">
        <f t="shared" si="6"/>
        <v>-1.6387243161476799E-3</v>
      </c>
      <c r="I407" s="47"/>
    </row>
    <row r="408" spans="1:9">
      <c r="A408" s="109">
        <v>45029</v>
      </c>
      <c r="B408" s="112">
        <v>164.18</v>
      </c>
      <c r="C408" s="112">
        <v>166.33</v>
      </c>
      <c r="D408" s="112">
        <v>163.81</v>
      </c>
      <c r="E408" s="112">
        <v>166.11</v>
      </c>
      <c r="F408" s="112">
        <v>158.66</v>
      </c>
      <c r="G408" s="113">
        <v>5640600</v>
      </c>
      <c r="H408" s="107">
        <f t="shared" si="6"/>
        <v>1.3348661940346193E-2</v>
      </c>
      <c r="I408" s="47"/>
    </row>
    <row r="409" spans="1:9">
      <c r="A409" s="109">
        <v>45028</v>
      </c>
      <c r="B409" s="112">
        <v>163.94</v>
      </c>
      <c r="C409" s="112">
        <v>164.84</v>
      </c>
      <c r="D409" s="112">
        <v>163.1</v>
      </c>
      <c r="E409" s="112">
        <v>163.92</v>
      </c>
      <c r="F409" s="112">
        <v>156.57</v>
      </c>
      <c r="G409" s="113">
        <v>5764100</v>
      </c>
      <c r="H409" s="107">
        <f t="shared" si="6"/>
        <v>-2.1032504780115519E-3</v>
      </c>
      <c r="I409" s="47"/>
    </row>
    <row r="410" spans="1:9">
      <c r="A410" s="109">
        <v>45027</v>
      </c>
      <c r="B410" s="112">
        <v>164.42</v>
      </c>
      <c r="C410" s="112">
        <v>165.28</v>
      </c>
      <c r="D410" s="112">
        <v>164.04</v>
      </c>
      <c r="E410" s="112">
        <v>164.27</v>
      </c>
      <c r="F410" s="112">
        <v>156.9</v>
      </c>
      <c r="G410" s="113">
        <v>5903800</v>
      </c>
      <c r="H410" s="107">
        <f t="shared" si="6"/>
        <v>-3.1857279388329372E-4</v>
      </c>
      <c r="I410" s="47"/>
    </row>
    <row r="411" spans="1:9">
      <c r="A411" s="109">
        <v>45026</v>
      </c>
      <c r="B411" s="112">
        <v>164.63</v>
      </c>
      <c r="C411" s="112">
        <v>164.84</v>
      </c>
      <c r="D411" s="112">
        <v>163.63999999999999</v>
      </c>
      <c r="E411" s="112">
        <v>164.32</v>
      </c>
      <c r="F411" s="112">
        <v>156.94999999999999</v>
      </c>
      <c r="G411" s="113">
        <v>5354000</v>
      </c>
      <c r="H411" s="107">
        <f t="shared" si="6"/>
        <v>-5.0082414099151791E-3</v>
      </c>
      <c r="I411" s="47"/>
    </row>
    <row r="412" spans="1:9">
      <c r="A412" s="109">
        <v>45022</v>
      </c>
      <c r="B412" s="112">
        <v>165.99</v>
      </c>
      <c r="C412" s="112">
        <v>167.23</v>
      </c>
      <c r="D412" s="112">
        <v>164.8</v>
      </c>
      <c r="E412" s="112">
        <v>165.15</v>
      </c>
      <c r="F412" s="112">
        <v>157.74</v>
      </c>
      <c r="G412" s="113">
        <v>9615400</v>
      </c>
      <c r="H412" s="107">
        <f t="shared" si="6"/>
        <v>-2.7816411682892762E-3</v>
      </c>
      <c r="I412" s="47"/>
    </row>
    <row r="413" spans="1:9">
      <c r="A413" s="109">
        <v>45021</v>
      </c>
      <c r="B413" s="112">
        <v>164.37</v>
      </c>
      <c r="C413" s="112">
        <v>165.66</v>
      </c>
      <c r="D413" s="112">
        <v>162.76</v>
      </c>
      <c r="E413" s="112">
        <v>165.61</v>
      </c>
      <c r="F413" s="112">
        <v>158.18</v>
      </c>
      <c r="G413" s="113">
        <v>16704200</v>
      </c>
      <c r="H413" s="107">
        <f t="shared" si="6"/>
        <v>4.4920068701281617E-2</v>
      </c>
      <c r="I413" s="47"/>
    </row>
    <row r="414" spans="1:9">
      <c r="A414" s="109">
        <v>45020</v>
      </c>
      <c r="B414" s="112">
        <v>156.97</v>
      </c>
      <c r="C414" s="112">
        <v>158.97</v>
      </c>
      <c r="D414" s="112">
        <v>156.59</v>
      </c>
      <c r="E414" s="112">
        <v>158.49</v>
      </c>
      <c r="F414" s="112">
        <v>151.38</v>
      </c>
      <c r="G414" s="113">
        <v>8314500</v>
      </c>
      <c r="H414" s="107">
        <f t="shared" si="6"/>
        <v>1.0479941258927929E-2</v>
      </c>
      <c r="I414" s="47"/>
    </row>
    <row r="415" spans="1:9">
      <c r="A415" s="109">
        <v>45019</v>
      </c>
      <c r="B415" s="112">
        <v>154.94999999999999</v>
      </c>
      <c r="C415" s="112">
        <v>157.01</v>
      </c>
      <c r="D415" s="112">
        <v>153.94</v>
      </c>
      <c r="E415" s="112">
        <v>156.85</v>
      </c>
      <c r="F415" s="112">
        <v>149.81</v>
      </c>
      <c r="G415" s="113">
        <v>6841900</v>
      </c>
      <c r="H415" s="107">
        <f t="shared" si="6"/>
        <v>1.188787571766289E-2</v>
      </c>
      <c r="I415" s="47"/>
    </row>
    <row r="416" spans="1:9">
      <c r="A416" s="109">
        <v>45016</v>
      </c>
      <c r="B416" s="112">
        <v>153.79</v>
      </c>
      <c r="C416" s="112">
        <v>155.19</v>
      </c>
      <c r="D416" s="112">
        <v>153.24</v>
      </c>
      <c r="E416" s="112">
        <v>155</v>
      </c>
      <c r="F416" s="112">
        <v>148.05000000000001</v>
      </c>
      <c r="G416" s="113">
        <v>9890000</v>
      </c>
      <c r="H416" s="107">
        <f t="shared" si="6"/>
        <v>1.0235414534288638E-2</v>
      </c>
      <c r="I416" s="47"/>
    </row>
    <row r="417" spans="1:9">
      <c r="A417" s="109">
        <v>45015</v>
      </c>
      <c r="B417" s="112">
        <v>153.58000000000001</v>
      </c>
      <c r="C417" s="112">
        <v>153.80000000000001</v>
      </c>
      <c r="D417" s="112">
        <v>152.81</v>
      </c>
      <c r="E417" s="112">
        <v>153.43</v>
      </c>
      <c r="F417" s="112">
        <v>146.55000000000001</v>
      </c>
      <c r="G417" s="113">
        <v>4555700</v>
      </c>
      <c r="H417" s="107">
        <f t="shared" si="6"/>
        <v>8.195041999590558E-4</v>
      </c>
      <c r="I417" s="47"/>
    </row>
    <row r="418" spans="1:9">
      <c r="A418" s="109">
        <v>45014</v>
      </c>
      <c r="B418" s="112">
        <v>152.24</v>
      </c>
      <c r="C418" s="112">
        <v>153.38</v>
      </c>
      <c r="D418" s="112">
        <v>152.07</v>
      </c>
      <c r="E418" s="112">
        <v>153.31</v>
      </c>
      <c r="F418" s="112">
        <v>146.43</v>
      </c>
      <c r="G418" s="113">
        <v>6012000</v>
      </c>
      <c r="H418" s="107">
        <f t="shared" si="6"/>
        <v>9.7924281084064268E-3</v>
      </c>
      <c r="I418" s="47"/>
    </row>
    <row r="419" spans="1:9">
      <c r="A419" s="109">
        <v>45013</v>
      </c>
      <c r="B419" s="112">
        <v>152.38999999999999</v>
      </c>
      <c r="C419" s="112">
        <v>153.44999999999999</v>
      </c>
      <c r="D419" s="112">
        <v>151.72999999999999</v>
      </c>
      <c r="E419" s="112">
        <v>151.82</v>
      </c>
      <c r="F419" s="112">
        <v>145.01</v>
      </c>
      <c r="G419" s="113">
        <v>6115300</v>
      </c>
      <c r="H419" s="107">
        <f t="shared" si="6"/>
        <v>-9.6298319901652555E-3</v>
      </c>
      <c r="I419" s="47"/>
    </row>
    <row r="420" spans="1:9">
      <c r="A420" s="109">
        <v>45012</v>
      </c>
      <c r="B420" s="112">
        <v>154.19999999999999</v>
      </c>
      <c r="C420" s="112">
        <v>154.54</v>
      </c>
      <c r="D420" s="112">
        <v>153.11000000000001</v>
      </c>
      <c r="E420" s="112">
        <v>153.30000000000001</v>
      </c>
      <c r="F420" s="112">
        <v>146.41999999999999</v>
      </c>
      <c r="G420" s="113">
        <v>6772300</v>
      </c>
      <c r="H420" s="107">
        <f t="shared" si="6"/>
        <v>4.2524005486966809E-3</v>
      </c>
      <c r="I420" s="47"/>
    </row>
    <row r="421" spans="1:9">
      <c r="A421" s="109">
        <v>45009</v>
      </c>
      <c r="B421" s="112">
        <v>151.47999999999999</v>
      </c>
      <c r="C421" s="112">
        <v>152.76</v>
      </c>
      <c r="D421" s="112">
        <v>150.83000000000001</v>
      </c>
      <c r="E421" s="112">
        <v>152.65</v>
      </c>
      <c r="F421" s="112">
        <v>145.80000000000001</v>
      </c>
      <c r="G421" s="113">
        <v>5696200</v>
      </c>
      <c r="H421" s="107">
        <f t="shared" si="6"/>
        <v>1.0045029442327795E-2</v>
      </c>
      <c r="I421" s="47"/>
    </row>
    <row r="422" spans="1:9">
      <c r="A422" s="109">
        <v>45008</v>
      </c>
      <c r="B422" s="112">
        <v>151.18</v>
      </c>
      <c r="C422" s="112">
        <v>151.69</v>
      </c>
      <c r="D422" s="112">
        <v>150.11000000000001</v>
      </c>
      <c r="E422" s="112">
        <v>151.13</v>
      </c>
      <c r="F422" s="112">
        <v>144.35</v>
      </c>
      <c r="G422" s="113">
        <v>9051500</v>
      </c>
      <c r="H422" s="107">
        <f t="shared" si="6"/>
        <v>5.5451583835852279E-4</v>
      </c>
      <c r="I422" s="47"/>
    </row>
    <row r="423" spans="1:9">
      <c r="A423" s="109">
        <v>45007</v>
      </c>
      <c r="B423" s="112">
        <v>153.85</v>
      </c>
      <c r="C423" s="112">
        <v>154.06</v>
      </c>
      <c r="D423" s="112">
        <v>151.03</v>
      </c>
      <c r="E423" s="112">
        <v>151.05000000000001</v>
      </c>
      <c r="F423" s="112">
        <v>144.27000000000001</v>
      </c>
      <c r="G423" s="113">
        <v>7943500</v>
      </c>
      <c r="H423" s="107">
        <f t="shared" si="6"/>
        <v>-1.8504660180964683E-2</v>
      </c>
      <c r="I423" s="47"/>
    </row>
    <row r="424" spans="1:9">
      <c r="A424" s="109">
        <v>45006</v>
      </c>
      <c r="B424" s="112">
        <v>154</v>
      </c>
      <c r="C424" s="112">
        <v>154.13</v>
      </c>
      <c r="D424" s="112">
        <v>152.16999999999999</v>
      </c>
      <c r="E424" s="112">
        <v>153.88999999999999</v>
      </c>
      <c r="F424" s="112">
        <v>146.99</v>
      </c>
      <c r="G424" s="113">
        <v>8376800</v>
      </c>
      <c r="H424" s="107">
        <f t="shared" si="6"/>
        <v>0</v>
      </c>
      <c r="I424" s="47"/>
    </row>
    <row r="425" spans="1:9">
      <c r="A425" s="109">
        <v>45005</v>
      </c>
      <c r="B425" s="112">
        <v>152.47</v>
      </c>
      <c r="C425" s="112">
        <v>154.07</v>
      </c>
      <c r="D425" s="112">
        <v>152.38</v>
      </c>
      <c r="E425" s="112">
        <v>153.88999999999999</v>
      </c>
      <c r="F425" s="112">
        <v>146.99</v>
      </c>
      <c r="G425" s="113">
        <v>7129000</v>
      </c>
      <c r="H425" s="107">
        <f t="shared" si="6"/>
        <v>9.9628967981312162E-3</v>
      </c>
      <c r="I425" s="47"/>
    </row>
    <row r="426" spans="1:9">
      <c r="A426" s="109">
        <v>45002</v>
      </c>
      <c r="B426" s="112">
        <v>154.47999999999999</v>
      </c>
      <c r="C426" s="112">
        <v>154.94999999999999</v>
      </c>
      <c r="D426" s="112">
        <v>152.30000000000001</v>
      </c>
      <c r="E426" s="112">
        <v>152.38</v>
      </c>
      <c r="F426" s="112">
        <v>145.54</v>
      </c>
      <c r="G426" s="113">
        <v>20540700</v>
      </c>
      <c r="H426" s="107">
        <f t="shared" si="6"/>
        <v>-1.0739532354540596E-2</v>
      </c>
      <c r="I426" s="47"/>
    </row>
    <row r="427" spans="1:9">
      <c r="A427" s="109">
        <v>45001</v>
      </c>
      <c r="B427" s="112">
        <v>153.44999999999999</v>
      </c>
      <c r="C427" s="112">
        <v>154.37</v>
      </c>
      <c r="D427" s="112">
        <v>152.6</v>
      </c>
      <c r="E427" s="112">
        <v>154.03</v>
      </c>
      <c r="F427" s="112">
        <v>147.12</v>
      </c>
      <c r="G427" s="113">
        <v>7605500</v>
      </c>
      <c r="H427" s="107">
        <f t="shared" si="6"/>
        <v>-2.0350020350019195E-3</v>
      </c>
      <c r="I427" s="47"/>
    </row>
    <row r="428" spans="1:9">
      <c r="A428" s="109">
        <v>45000</v>
      </c>
      <c r="B428" s="112">
        <v>152.84</v>
      </c>
      <c r="C428" s="112">
        <v>154.88999999999999</v>
      </c>
      <c r="D428" s="112">
        <v>152.53</v>
      </c>
      <c r="E428" s="112">
        <v>154.35</v>
      </c>
      <c r="F428" s="112">
        <v>147.41999999999999</v>
      </c>
      <c r="G428" s="113">
        <v>7757700</v>
      </c>
      <c r="H428" s="107">
        <f t="shared" si="6"/>
        <v>2.7889259234065481E-3</v>
      </c>
      <c r="I428" s="47"/>
    </row>
    <row r="429" spans="1:9">
      <c r="A429" s="109">
        <v>44999</v>
      </c>
      <c r="B429" s="112">
        <v>153.28</v>
      </c>
      <c r="C429" s="112">
        <v>154.03</v>
      </c>
      <c r="D429" s="112">
        <v>151.9</v>
      </c>
      <c r="E429" s="112">
        <v>153.91999999999999</v>
      </c>
      <c r="F429" s="112">
        <v>147.01</v>
      </c>
      <c r="G429" s="113">
        <v>8421200</v>
      </c>
      <c r="H429" s="107">
        <f t="shared" si="6"/>
        <v>5.6091387919829892E-3</v>
      </c>
      <c r="I429" s="47"/>
    </row>
    <row r="430" spans="1:9">
      <c r="A430" s="109">
        <v>44998</v>
      </c>
      <c r="B430" s="112">
        <v>152.09</v>
      </c>
      <c r="C430" s="112">
        <v>155.91</v>
      </c>
      <c r="D430" s="112">
        <v>151.57</v>
      </c>
      <c r="E430" s="112">
        <v>153.06</v>
      </c>
      <c r="F430" s="112">
        <v>146.19</v>
      </c>
      <c r="G430" s="113">
        <v>10799600</v>
      </c>
      <c r="H430" s="107">
        <f t="shared" si="6"/>
        <v>9.5297286099026001E-3</v>
      </c>
      <c r="I430" s="47"/>
    </row>
    <row r="431" spans="1:9">
      <c r="A431" s="109">
        <v>44995</v>
      </c>
      <c r="B431" s="112">
        <v>151.86000000000001</v>
      </c>
      <c r="C431" s="112">
        <v>153.49</v>
      </c>
      <c r="D431" s="112">
        <v>151.1</v>
      </c>
      <c r="E431" s="112">
        <v>151.61000000000001</v>
      </c>
      <c r="F431" s="112">
        <v>144.81</v>
      </c>
      <c r="G431" s="113">
        <v>8504300</v>
      </c>
      <c r="H431" s="107">
        <f t="shared" si="6"/>
        <v>2.4922118380063252E-3</v>
      </c>
      <c r="I431" s="47"/>
    </row>
    <row r="432" spans="1:9">
      <c r="A432" s="109">
        <v>44994</v>
      </c>
      <c r="B432" s="112">
        <v>153.46</v>
      </c>
      <c r="C432" s="112">
        <v>153.6</v>
      </c>
      <c r="D432" s="112">
        <v>150.71</v>
      </c>
      <c r="E432" s="112">
        <v>151.24</v>
      </c>
      <c r="F432" s="112">
        <v>144.44999999999999</v>
      </c>
      <c r="G432" s="113">
        <v>7439400</v>
      </c>
      <c r="H432" s="107">
        <f t="shared" si="6"/>
        <v>-1.1293634496919957E-2</v>
      </c>
      <c r="I432" s="47"/>
    </row>
    <row r="433" spans="1:9">
      <c r="A433" s="109">
        <v>44993</v>
      </c>
      <c r="B433" s="112">
        <v>153.97999999999999</v>
      </c>
      <c r="C433" s="112">
        <v>154.19999999999999</v>
      </c>
      <c r="D433" s="112">
        <v>152.47999999999999</v>
      </c>
      <c r="E433" s="112">
        <v>152.96</v>
      </c>
      <c r="F433" s="112">
        <v>146.1</v>
      </c>
      <c r="G433" s="113">
        <v>6230500</v>
      </c>
      <c r="H433" s="107">
        <f t="shared" si="6"/>
        <v>-7.3379535262944181E-3</v>
      </c>
      <c r="I433" s="47"/>
    </row>
    <row r="434" spans="1:9">
      <c r="A434" s="109">
        <v>44992</v>
      </c>
      <c r="B434" s="112">
        <v>156.09</v>
      </c>
      <c r="C434" s="112">
        <v>156.25</v>
      </c>
      <c r="D434" s="112">
        <v>153.35</v>
      </c>
      <c r="E434" s="112">
        <v>154.09</v>
      </c>
      <c r="F434" s="112">
        <v>147.18</v>
      </c>
      <c r="G434" s="113">
        <v>7457700</v>
      </c>
      <c r="H434" s="107">
        <f t="shared" si="6"/>
        <v>-9.4225333153856883E-3</v>
      </c>
      <c r="I434" s="47"/>
    </row>
    <row r="435" spans="1:9">
      <c r="A435" s="109">
        <v>44991</v>
      </c>
      <c r="B435" s="112">
        <v>154.66</v>
      </c>
      <c r="C435" s="112">
        <v>155.72999999999999</v>
      </c>
      <c r="D435" s="112">
        <v>154.57</v>
      </c>
      <c r="E435" s="112">
        <v>155.56</v>
      </c>
      <c r="F435" s="112">
        <v>148.58000000000001</v>
      </c>
      <c r="G435" s="113">
        <v>8148200</v>
      </c>
      <c r="H435" s="107">
        <f t="shared" si="6"/>
        <v>9.9925226021344484E-3</v>
      </c>
      <c r="I435" s="47"/>
    </row>
    <row r="436" spans="1:9">
      <c r="A436" s="109">
        <v>44988</v>
      </c>
      <c r="B436" s="112">
        <v>153.37</v>
      </c>
      <c r="C436" s="112">
        <v>154.12</v>
      </c>
      <c r="D436" s="112">
        <v>152.84</v>
      </c>
      <c r="E436" s="112">
        <v>154.02000000000001</v>
      </c>
      <c r="F436" s="112">
        <v>147.11000000000001</v>
      </c>
      <c r="G436" s="113">
        <v>5747200</v>
      </c>
      <c r="H436" s="107">
        <f t="shared" si="6"/>
        <v>1.0301490282260833E-2</v>
      </c>
      <c r="I436" s="47"/>
    </row>
    <row r="437" spans="1:9">
      <c r="A437" s="109">
        <v>44987</v>
      </c>
      <c r="B437" s="112">
        <v>151.75</v>
      </c>
      <c r="C437" s="112">
        <v>152.76</v>
      </c>
      <c r="D437" s="112">
        <v>151.22999999999999</v>
      </c>
      <c r="E437" s="112">
        <v>152.44999999999999</v>
      </c>
      <c r="F437" s="112">
        <v>145.61000000000001</v>
      </c>
      <c r="G437" s="113">
        <v>8762500</v>
      </c>
      <c r="H437" s="107">
        <f t="shared" si="6"/>
        <v>-7.5487235794664581E-4</v>
      </c>
      <c r="I437" s="47"/>
    </row>
    <row r="438" spans="1:9">
      <c r="A438" s="109">
        <v>44986</v>
      </c>
      <c r="B438" s="112">
        <v>153.01</v>
      </c>
      <c r="C438" s="112">
        <v>153.24</v>
      </c>
      <c r="D438" s="112">
        <v>151.91</v>
      </c>
      <c r="E438" s="112">
        <v>152.57</v>
      </c>
      <c r="F438" s="112">
        <v>145.72</v>
      </c>
      <c r="G438" s="113">
        <v>6767000</v>
      </c>
      <c r="H438" s="107">
        <f t="shared" si="6"/>
        <v>-4.5088126793277538E-3</v>
      </c>
      <c r="I438" s="47"/>
    </row>
    <row r="439" spans="1:9">
      <c r="A439" s="109">
        <v>44985</v>
      </c>
      <c r="B439" s="112">
        <v>154.97999999999999</v>
      </c>
      <c r="C439" s="112">
        <v>155.27000000000001</v>
      </c>
      <c r="D439" s="112">
        <v>153.04</v>
      </c>
      <c r="E439" s="112">
        <v>153.26</v>
      </c>
      <c r="F439" s="112">
        <v>146.38</v>
      </c>
      <c r="G439" s="113">
        <v>9062300</v>
      </c>
      <c r="H439" s="107">
        <f t="shared" si="6"/>
        <v>-1.5270770265724926E-2</v>
      </c>
      <c r="I439" s="47"/>
    </row>
    <row r="440" spans="1:9">
      <c r="A440" s="109">
        <v>44984</v>
      </c>
      <c r="B440" s="112">
        <v>156.44999999999999</v>
      </c>
      <c r="C440" s="112">
        <v>156.9</v>
      </c>
      <c r="D440" s="112">
        <v>155.08000000000001</v>
      </c>
      <c r="E440" s="112">
        <v>155.63</v>
      </c>
      <c r="F440" s="112">
        <v>148.65</v>
      </c>
      <c r="G440" s="113">
        <v>7267100</v>
      </c>
      <c r="H440" s="107">
        <f t="shared" si="6"/>
        <v>-2.1480835067462789E-3</v>
      </c>
      <c r="I440" s="47"/>
    </row>
    <row r="441" spans="1:9">
      <c r="A441" s="109">
        <v>44981</v>
      </c>
      <c r="B441" s="112">
        <v>156.65</v>
      </c>
      <c r="C441" s="112">
        <v>156.85</v>
      </c>
      <c r="D441" s="112">
        <v>155.21</v>
      </c>
      <c r="E441" s="112">
        <v>155.97</v>
      </c>
      <c r="F441" s="112">
        <v>148.97</v>
      </c>
      <c r="G441" s="113">
        <v>8689700</v>
      </c>
      <c r="H441" s="107">
        <f t="shared" si="6"/>
        <v>-1.1151676070361811E-2</v>
      </c>
      <c r="I441" s="47"/>
    </row>
    <row r="442" spans="1:9">
      <c r="A442" s="109">
        <v>44980</v>
      </c>
      <c r="B442" s="112">
        <v>157.71</v>
      </c>
      <c r="C442" s="112">
        <v>158.59</v>
      </c>
      <c r="D442" s="112">
        <v>156.66999999999999</v>
      </c>
      <c r="E442" s="112">
        <v>157.72999999999999</v>
      </c>
      <c r="F442" s="112">
        <v>150.65</v>
      </c>
      <c r="G442" s="113">
        <v>9385100</v>
      </c>
      <c r="H442" s="107">
        <f t="shared" si="6"/>
        <v>-3.317850033177369E-4</v>
      </c>
      <c r="I442" s="47"/>
    </row>
    <row r="443" spans="1:9">
      <c r="A443" s="109">
        <v>44979</v>
      </c>
      <c r="B443" s="112">
        <v>158.5</v>
      </c>
      <c r="C443" s="112">
        <v>158.85</v>
      </c>
      <c r="D443" s="112">
        <v>157.37</v>
      </c>
      <c r="E443" s="112">
        <v>157.78</v>
      </c>
      <c r="F443" s="112">
        <v>150.69999999999999</v>
      </c>
      <c r="G443" s="113">
        <v>9820200</v>
      </c>
      <c r="H443" s="107">
        <f t="shared" si="6"/>
        <v>-1.3915578821814855E-3</v>
      </c>
      <c r="I443" s="47"/>
    </row>
    <row r="444" spans="1:9">
      <c r="A444" s="109">
        <v>44978</v>
      </c>
      <c r="B444" s="112">
        <v>159.65</v>
      </c>
      <c r="C444" s="112">
        <v>160.35</v>
      </c>
      <c r="D444" s="112">
        <v>157.88999999999999</v>
      </c>
      <c r="E444" s="112">
        <v>158</v>
      </c>
      <c r="F444" s="112">
        <v>150.91</v>
      </c>
      <c r="G444" s="113">
        <v>9423900</v>
      </c>
      <c r="H444" s="107">
        <f t="shared" si="6"/>
        <v>-1.4883478033814226E-2</v>
      </c>
      <c r="I444" s="47"/>
    </row>
    <row r="445" spans="1:9">
      <c r="A445" s="109">
        <v>44974</v>
      </c>
      <c r="B445" s="112">
        <v>157.02000000000001</v>
      </c>
      <c r="C445" s="112">
        <v>161.11000000000001</v>
      </c>
      <c r="D445" s="112">
        <v>156.62</v>
      </c>
      <c r="E445" s="112">
        <v>160.38999999999999</v>
      </c>
      <c r="F445" s="112">
        <v>153.19</v>
      </c>
      <c r="G445" s="113">
        <v>12401900</v>
      </c>
      <c r="H445" s="107">
        <f t="shared" si="6"/>
        <v>2.0858323337331702E-2</v>
      </c>
      <c r="I445" s="47"/>
    </row>
    <row r="446" spans="1:9">
      <c r="A446" s="109">
        <v>44973</v>
      </c>
      <c r="B446" s="112">
        <v>159.07</v>
      </c>
      <c r="C446" s="112">
        <v>159.65</v>
      </c>
      <c r="D446" s="112">
        <v>157.91999999999999</v>
      </c>
      <c r="E446" s="112">
        <v>158.24</v>
      </c>
      <c r="F446" s="112">
        <v>150.06</v>
      </c>
      <c r="G446" s="113">
        <v>11177000</v>
      </c>
      <c r="H446" s="107">
        <f t="shared" si="6"/>
        <v>-7.0799973532719726E-3</v>
      </c>
      <c r="I446" s="47"/>
    </row>
    <row r="447" spans="1:9">
      <c r="A447" s="109">
        <v>44972</v>
      </c>
      <c r="B447" s="112">
        <v>161.94999999999999</v>
      </c>
      <c r="C447" s="112">
        <v>161.97999999999999</v>
      </c>
      <c r="D447" s="112">
        <v>159.29</v>
      </c>
      <c r="E447" s="112">
        <v>159.37</v>
      </c>
      <c r="F447" s="112">
        <v>151.13</v>
      </c>
      <c r="G447" s="113">
        <v>12621800</v>
      </c>
      <c r="H447" s="107">
        <f t="shared" si="6"/>
        <v>-1.6464922556293123E-2</v>
      </c>
      <c r="I447" s="47"/>
    </row>
    <row r="448" spans="1:9">
      <c r="A448" s="109">
        <v>44971</v>
      </c>
      <c r="B448" s="112">
        <v>162.74</v>
      </c>
      <c r="C448" s="112">
        <v>162.97</v>
      </c>
      <c r="D448" s="112">
        <v>161.76</v>
      </c>
      <c r="E448" s="112">
        <v>162.04</v>
      </c>
      <c r="F448" s="112">
        <v>153.66</v>
      </c>
      <c r="G448" s="113">
        <v>6316000</v>
      </c>
      <c r="H448" s="107">
        <f t="shared" si="6"/>
        <v>-4.405857198393202E-3</v>
      </c>
      <c r="I448" s="47"/>
    </row>
    <row r="449" spans="1:9">
      <c r="A449" s="109">
        <v>44970</v>
      </c>
      <c r="B449" s="112">
        <v>161.33000000000001</v>
      </c>
      <c r="C449" s="112">
        <v>162.82</v>
      </c>
      <c r="D449" s="112">
        <v>161.15</v>
      </c>
      <c r="E449" s="112">
        <v>162.75</v>
      </c>
      <c r="F449" s="112">
        <v>154.34</v>
      </c>
      <c r="G449" s="113">
        <v>6414700</v>
      </c>
      <c r="H449" s="107">
        <f t="shared" si="6"/>
        <v>3.7068348832671725E-3</v>
      </c>
      <c r="I449" s="47"/>
    </row>
    <row r="450" spans="1:9">
      <c r="A450" s="109">
        <v>44967</v>
      </c>
      <c r="B450" s="112">
        <v>161.77000000000001</v>
      </c>
      <c r="C450" s="112">
        <v>162.79</v>
      </c>
      <c r="D450" s="112">
        <v>161.35</v>
      </c>
      <c r="E450" s="112">
        <v>162.15</v>
      </c>
      <c r="F450" s="112">
        <v>153.77000000000001</v>
      </c>
      <c r="G450" s="113">
        <v>7028000</v>
      </c>
      <c r="H450" s="107">
        <f t="shared" si="6"/>
        <v>4.6387037762969287E-3</v>
      </c>
      <c r="I450" s="47"/>
    </row>
    <row r="451" spans="1:9">
      <c r="A451" s="109">
        <v>44966</v>
      </c>
      <c r="B451" s="112">
        <v>163.63</v>
      </c>
      <c r="C451" s="112">
        <v>164.8</v>
      </c>
      <c r="D451" s="112">
        <v>161.07</v>
      </c>
      <c r="E451" s="112">
        <v>161.4</v>
      </c>
      <c r="F451" s="112">
        <v>153.06</v>
      </c>
      <c r="G451" s="113">
        <v>7949500</v>
      </c>
      <c r="H451" s="107">
        <f t="shared" ref="H451:H505" si="7">(F451-F452)/F452</f>
        <v>-1.3470834676119906E-2</v>
      </c>
      <c r="I451" s="47"/>
    </row>
    <row r="452" spans="1:9">
      <c r="A452" s="109">
        <v>44965</v>
      </c>
      <c r="B452" s="112">
        <v>163.30000000000001</v>
      </c>
      <c r="C452" s="112">
        <v>164.56</v>
      </c>
      <c r="D452" s="112">
        <v>162.9</v>
      </c>
      <c r="E452" s="112">
        <v>163.61000000000001</v>
      </c>
      <c r="F452" s="112">
        <v>155.15</v>
      </c>
      <c r="G452" s="113">
        <v>6054700</v>
      </c>
      <c r="H452" s="107">
        <f t="shared" si="7"/>
        <v>1.2907389480478675E-3</v>
      </c>
      <c r="I452" s="47"/>
    </row>
    <row r="453" spans="1:9">
      <c r="A453" s="109">
        <v>44964</v>
      </c>
      <c r="B453" s="112">
        <v>161.6</v>
      </c>
      <c r="C453" s="112">
        <v>163.88</v>
      </c>
      <c r="D453" s="112">
        <v>161.41999999999999</v>
      </c>
      <c r="E453" s="112">
        <v>163.4</v>
      </c>
      <c r="F453" s="112">
        <v>154.94999999999999</v>
      </c>
      <c r="G453" s="113">
        <v>7310800</v>
      </c>
      <c r="H453" s="107">
        <f t="shared" si="7"/>
        <v>1.9364833462432959E-4</v>
      </c>
      <c r="I453" s="47"/>
    </row>
    <row r="454" spans="1:9">
      <c r="A454" s="109">
        <v>44963</v>
      </c>
      <c r="B454" s="112">
        <v>164.55</v>
      </c>
      <c r="C454" s="112">
        <v>164.85</v>
      </c>
      <c r="D454" s="112">
        <v>163.1</v>
      </c>
      <c r="E454" s="112">
        <v>163.36000000000001</v>
      </c>
      <c r="F454" s="112">
        <v>154.91999999999999</v>
      </c>
      <c r="G454" s="113">
        <v>7021000</v>
      </c>
      <c r="H454" s="107">
        <f t="shared" si="7"/>
        <v>-7.559256886611191E-3</v>
      </c>
      <c r="I454" s="47"/>
    </row>
    <row r="455" spans="1:9">
      <c r="A455" s="109">
        <v>44960</v>
      </c>
      <c r="B455" s="112">
        <v>166.03</v>
      </c>
      <c r="C455" s="112">
        <v>166.34</v>
      </c>
      <c r="D455" s="112">
        <v>163.89</v>
      </c>
      <c r="E455" s="112">
        <v>164.61</v>
      </c>
      <c r="F455" s="112">
        <v>156.1</v>
      </c>
      <c r="G455" s="113">
        <v>6868500</v>
      </c>
      <c r="H455" s="107">
        <f t="shared" si="7"/>
        <v>-5.6058096572811538E-3</v>
      </c>
      <c r="I455" s="47"/>
    </row>
    <row r="456" spans="1:9">
      <c r="A456" s="109">
        <v>44959</v>
      </c>
      <c r="B456" s="112">
        <v>163</v>
      </c>
      <c r="C456" s="112">
        <v>166.22</v>
      </c>
      <c r="D456" s="112">
        <v>162.82</v>
      </c>
      <c r="E456" s="112">
        <v>165.54</v>
      </c>
      <c r="F456" s="112">
        <v>156.97999999999999</v>
      </c>
      <c r="G456" s="113">
        <v>10099000</v>
      </c>
      <c r="H456" s="107">
        <f t="shared" si="7"/>
        <v>3.7084398976981077E-3</v>
      </c>
      <c r="I456" s="47"/>
    </row>
    <row r="457" spans="1:9">
      <c r="A457" s="109">
        <v>44958</v>
      </c>
      <c r="B457" s="112">
        <v>162.99</v>
      </c>
      <c r="C457" s="112">
        <v>165.98</v>
      </c>
      <c r="D457" s="112">
        <v>162.4</v>
      </c>
      <c r="E457" s="112">
        <v>164.92</v>
      </c>
      <c r="F457" s="112">
        <v>156.4</v>
      </c>
      <c r="G457" s="113">
        <v>9865300</v>
      </c>
      <c r="H457" s="107">
        <f t="shared" si="7"/>
        <v>9.2275924372459631E-3</v>
      </c>
      <c r="I457" s="47"/>
    </row>
    <row r="458" spans="1:9">
      <c r="A458" s="109">
        <v>44957</v>
      </c>
      <c r="B458" s="112">
        <v>161.69999999999999</v>
      </c>
      <c r="C458" s="112">
        <v>163.43</v>
      </c>
      <c r="D458" s="112">
        <v>161.05000000000001</v>
      </c>
      <c r="E458" s="112">
        <v>163.41999999999999</v>
      </c>
      <c r="F458" s="112">
        <v>154.97</v>
      </c>
      <c r="G458" s="113">
        <v>11612500</v>
      </c>
      <c r="H458" s="107">
        <f t="shared" si="7"/>
        <v>8.7222547679489913E-3</v>
      </c>
      <c r="I458" s="47"/>
    </row>
    <row r="459" spans="1:9">
      <c r="A459" s="109">
        <v>44956</v>
      </c>
      <c r="B459" s="112">
        <v>167.93</v>
      </c>
      <c r="C459" s="112">
        <v>168.54</v>
      </c>
      <c r="D459" s="112">
        <v>161.08000000000001</v>
      </c>
      <c r="E459" s="112">
        <v>162</v>
      </c>
      <c r="F459" s="112">
        <v>153.63</v>
      </c>
      <c r="G459" s="113">
        <v>23259100</v>
      </c>
      <c r="H459" s="107">
        <f t="shared" si="7"/>
        <v>-3.6983639440857558E-2</v>
      </c>
      <c r="I459" s="47"/>
    </row>
    <row r="460" spans="1:9">
      <c r="A460" s="109">
        <v>44953</v>
      </c>
      <c r="B460" s="112">
        <v>168.54</v>
      </c>
      <c r="C460" s="112">
        <v>168.87</v>
      </c>
      <c r="D460" s="112">
        <v>167.77</v>
      </c>
      <c r="E460" s="112">
        <v>168.23</v>
      </c>
      <c r="F460" s="112">
        <v>159.53</v>
      </c>
      <c r="G460" s="113">
        <v>6058100</v>
      </c>
      <c r="H460" s="107">
        <f t="shared" si="7"/>
        <v>-3.9335664335664053E-3</v>
      </c>
      <c r="I460" s="47"/>
    </row>
    <row r="461" spans="1:9">
      <c r="A461" s="109">
        <v>44952</v>
      </c>
      <c r="B461" s="112">
        <v>169.55</v>
      </c>
      <c r="C461" s="112">
        <v>169.91</v>
      </c>
      <c r="D461" s="112">
        <v>168.65</v>
      </c>
      <c r="E461" s="112">
        <v>168.89</v>
      </c>
      <c r="F461" s="112">
        <v>160.16</v>
      </c>
      <c r="G461" s="113">
        <v>6946100</v>
      </c>
      <c r="H461" s="107">
        <f t="shared" si="7"/>
        <v>-3.6702954898911564E-3</v>
      </c>
      <c r="I461" s="47"/>
    </row>
    <row r="462" spans="1:9">
      <c r="A462" s="109">
        <v>44951</v>
      </c>
      <c r="B462" s="112">
        <v>167.17</v>
      </c>
      <c r="C462" s="112">
        <v>169.51</v>
      </c>
      <c r="D462" s="112">
        <v>167.08</v>
      </c>
      <c r="E462" s="112">
        <v>169.51</v>
      </c>
      <c r="F462" s="112">
        <v>160.75</v>
      </c>
      <c r="G462" s="113">
        <v>7099800</v>
      </c>
      <c r="H462" s="107">
        <f t="shared" si="7"/>
        <v>7.1424096234570904E-3</v>
      </c>
      <c r="I462" s="47"/>
    </row>
    <row r="463" spans="1:9">
      <c r="A463" s="109">
        <v>44950</v>
      </c>
      <c r="B463" s="112">
        <v>169.02</v>
      </c>
      <c r="C463" s="112">
        <v>170.99</v>
      </c>
      <c r="D463" s="112">
        <v>166.01</v>
      </c>
      <c r="E463" s="112">
        <v>168.31</v>
      </c>
      <c r="F463" s="112">
        <v>159.61000000000001</v>
      </c>
      <c r="G463" s="113">
        <v>10541800</v>
      </c>
      <c r="H463" s="107">
        <f t="shared" si="7"/>
        <v>0</v>
      </c>
      <c r="I463" s="47"/>
    </row>
    <row r="464" spans="1:9">
      <c r="A464" s="109">
        <v>44949</v>
      </c>
      <c r="B464" s="112">
        <v>169.1</v>
      </c>
      <c r="C464" s="112">
        <v>169.63</v>
      </c>
      <c r="D464" s="112">
        <v>167.95</v>
      </c>
      <c r="E464" s="112">
        <v>168.31</v>
      </c>
      <c r="F464" s="112">
        <v>159.61000000000001</v>
      </c>
      <c r="G464" s="113">
        <v>8425400</v>
      </c>
      <c r="H464" s="107">
        <f t="shared" si="7"/>
        <v>-2.5621797275340369E-3</v>
      </c>
      <c r="I464" s="47"/>
    </row>
    <row r="465" spans="1:9">
      <c r="A465" s="109">
        <v>44946</v>
      </c>
      <c r="B465" s="112">
        <v>170.1</v>
      </c>
      <c r="C465" s="112">
        <v>170.11</v>
      </c>
      <c r="D465" s="112">
        <v>167.48</v>
      </c>
      <c r="E465" s="112">
        <v>168.74</v>
      </c>
      <c r="F465" s="112">
        <v>160.02000000000001</v>
      </c>
      <c r="G465" s="113">
        <v>8620600</v>
      </c>
      <c r="H465" s="107">
        <f t="shared" si="7"/>
        <v>-4.6650494495241645E-3</v>
      </c>
      <c r="I465" s="47"/>
    </row>
    <row r="466" spans="1:9">
      <c r="A466" s="109">
        <v>44945</v>
      </c>
      <c r="B466" s="112">
        <v>169.03</v>
      </c>
      <c r="C466" s="112">
        <v>171.28</v>
      </c>
      <c r="D466" s="112">
        <v>168.71</v>
      </c>
      <c r="E466" s="112">
        <v>169.53</v>
      </c>
      <c r="F466" s="112">
        <v>160.77000000000001</v>
      </c>
      <c r="G466" s="113">
        <v>6939500</v>
      </c>
      <c r="H466" s="107">
        <f t="shared" si="7"/>
        <v>-1.3665445058699227E-3</v>
      </c>
      <c r="I466" s="47"/>
    </row>
    <row r="467" spans="1:9">
      <c r="A467" s="109">
        <v>44944</v>
      </c>
      <c r="B467" s="112">
        <v>171.65</v>
      </c>
      <c r="C467" s="112">
        <v>172</v>
      </c>
      <c r="D467" s="112">
        <v>169.71</v>
      </c>
      <c r="E467" s="112">
        <v>169.76</v>
      </c>
      <c r="F467" s="112">
        <v>160.99</v>
      </c>
      <c r="G467" s="113">
        <v>7047800</v>
      </c>
      <c r="H467" s="107">
        <f t="shared" si="7"/>
        <v>-1.5050474151116426E-2</v>
      </c>
      <c r="I467" s="47"/>
    </row>
    <row r="468" spans="1:9">
      <c r="A468" s="109">
        <v>44943</v>
      </c>
      <c r="B468" s="112">
        <v>174</v>
      </c>
      <c r="C468" s="112">
        <v>174.58</v>
      </c>
      <c r="D468" s="112">
        <v>172.09</v>
      </c>
      <c r="E468" s="112">
        <v>172.36</v>
      </c>
      <c r="F468" s="112">
        <v>163.44999999999999</v>
      </c>
      <c r="G468" s="113">
        <v>6053300</v>
      </c>
      <c r="H468" s="107">
        <f t="shared" si="7"/>
        <v>-6.201738918951847E-3</v>
      </c>
      <c r="I468" s="47"/>
    </row>
    <row r="469" spans="1:9">
      <c r="A469" s="109">
        <v>44939</v>
      </c>
      <c r="B469" s="112">
        <v>173.19</v>
      </c>
      <c r="C469" s="112">
        <v>174.01</v>
      </c>
      <c r="D469" s="112">
        <v>172.38</v>
      </c>
      <c r="E469" s="112">
        <v>173.43</v>
      </c>
      <c r="F469" s="112">
        <v>164.47</v>
      </c>
      <c r="G469" s="113">
        <v>6088000</v>
      </c>
      <c r="H469" s="107">
        <f t="shared" si="7"/>
        <v>-3.2725289376400951E-3</v>
      </c>
      <c r="I469" s="47"/>
    </row>
    <row r="470" spans="1:9">
      <c r="A470" s="109">
        <v>44938</v>
      </c>
      <c r="B470" s="112">
        <v>174.26</v>
      </c>
      <c r="C470" s="112">
        <v>174.71</v>
      </c>
      <c r="D470" s="112">
        <v>172.8</v>
      </c>
      <c r="E470" s="112">
        <v>174</v>
      </c>
      <c r="F470" s="112">
        <v>165.01</v>
      </c>
      <c r="G470" s="113">
        <v>4269400</v>
      </c>
      <c r="H470" s="107">
        <f t="shared" si="7"/>
        <v>-5.0048239266763895E-3</v>
      </c>
      <c r="I470" s="47"/>
    </row>
    <row r="471" spans="1:9">
      <c r="A471" s="109">
        <v>44937</v>
      </c>
      <c r="B471" s="112">
        <v>175.57</v>
      </c>
      <c r="C471" s="112">
        <v>175.72</v>
      </c>
      <c r="D471" s="112">
        <v>172.11</v>
      </c>
      <c r="E471" s="112">
        <v>174.88</v>
      </c>
      <c r="F471" s="112">
        <v>165.84</v>
      </c>
      <c r="G471" s="113">
        <v>6494800</v>
      </c>
      <c r="H471" s="107">
        <f t="shared" si="7"/>
        <v>-1.6254289326350624E-3</v>
      </c>
      <c r="I471" s="47"/>
    </row>
    <row r="472" spans="1:9">
      <c r="A472" s="109">
        <v>44936</v>
      </c>
      <c r="B472" s="112">
        <v>175.7</v>
      </c>
      <c r="C472" s="112">
        <v>176.14</v>
      </c>
      <c r="D472" s="112">
        <v>174.32</v>
      </c>
      <c r="E472" s="112">
        <v>175.16</v>
      </c>
      <c r="F472" s="112">
        <v>166.11</v>
      </c>
      <c r="G472" s="113">
        <v>5047500</v>
      </c>
      <c r="H472" s="107">
        <f t="shared" si="7"/>
        <v>-2.3423423423422603E-3</v>
      </c>
      <c r="I472" s="47"/>
    </row>
    <row r="473" spans="1:9">
      <c r="A473" s="109">
        <v>44935</v>
      </c>
      <c r="B473" s="112">
        <v>179.3</v>
      </c>
      <c r="C473" s="112">
        <v>179.76</v>
      </c>
      <c r="D473" s="112">
        <v>175.18</v>
      </c>
      <c r="E473" s="112">
        <v>175.58</v>
      </c>
      <c r="F473" s="112">
        <v>166.5</v>
      </c>
      <c r="G473" s="113">
        <v>7925300</v>
      </c>
      <c r="H473" s="107">
        <f t="shared" si="7"/>
        <v>-2.5917042064002846E-2</v>
      </c>
      <c r="I473" s="47"/>
    </row>
    <row r="474" spans="1:9">
      <c r="A474" s="109">
        <v>44932</v>
      </c>
      <c r="B474" s="112">
        <v>180.13</v>
      </c>
      <c r="C474" s="112">
        <v>180.93</v>
      </c>
      <c r="D474" s="112">
        <v>179.39</v>
      </c>
      <c r="E474" s="112">
        <v>180.25</v>
      </c>
      <c r="F474" s="112">
        <v>170.93</v>
      </c>
      <c r="G474" s="113">
        <v>5706000</v>
      </c>
      <c r="H474" s="107">
        <f t="shared" si="7"/>
        <v>8.0797357867421829E-3</v>
      </c>
      <c r="I474" s="47"/>
    </row>
    <row r="475" spans="1:9">
      <c r="A475" s="109">
        <v>44931</v>
      </c>
      <c r="B475" s="112">
        <v>179.02</v>
      </c>
      <c r="C475" s="112">
        <v>179.99</v>
      </c>
      <c r="D475" s="112">
        <v>178.41</v>
      </c>
      <c r="E475" s="112">
        <v>178.8</v>
      </c>
      <c r="F475" s="112">
        <v>169.56</v>
      </c>
      <c r="G475" s="113">
        <v>6255300</v>
      </c>
      <c r="H475" s="107">
        <f t="shared" si="7"/>
        <v>-7.3761854583771864E-3</v>
      </c>
      <c r="I475" s="47"/>
    </row>
    <row r="476" spans="1:9">
      <c r="A476" s="109">
        <v>44930</v>
      </c>
      <c r="B476" s="112">
        <v>178.89</v>
      </c>
      <c r="C476" s="112">
        <v>180.19</v>
      </c>
      <c r="D476" s="112">
        <v>178.48</v>
      </c>
      <c r="E476" s="112">
        <v>180.13</v>
      </c>
      <c r="F476" s="112">
        <v>170.82</v>
      </c>
      <c r="G476" s="113">
        <v>9788800</v>
      </c>
      <c r="H476" s="107">
        <f t="shared" si="7"/>
        <v>1.0888862587288457E-2</v>
      </c>
      <c r="I476" s="47"/>
    </row>
    <row r="477" spans="1:9">
      <c r="A477" s="109">
        <v>44929</v>
      </c>
      <c r="B477" s="112">
        <v>176.16</v>
      </c>
      <c r="C477" s="112">
        <v>178.38</v>
      </c>
      <c r="D477" s="112">
        <v>176.01</v>
      </c>
      <c r="E477" s="112">
        <v>178.19</v>
      </c>
      <c r="F477" s="112">
        <v>168.98</v>
      </c>
      <c r="G477" s="113">
        <v>6344900</v>
      </c>
      <c r="H477" s="107">
        <f t="shared" si="7"/>
        <v>8.7153772683857423E-3</v>
      </c>
      <c r="I477" s="47"/>
    </row>
    <row r="478" spans="1:9">
      <c r="A478" s="109">
        <v>44925</v>
      </c>
      <c r="B478" s="112">
        <v>177.49</v>
      </c>
      <c r="C478" s="112">
        <v>177.77</v>
      </c>
      <c r="D478" s="112">
        <v>175.4</v>
      </c>
      <c r="E478" s="112">
        <v>176.65</v>
      </c>
      <c r="F478" s="112">
        <v>167.52</v>
      </c>
      <c r="G478" s="113">
        <v>4216600</v>
      </c>
      <c r="H478" s="107">
        <f t="shared" si="7"/>
        <v>-5.1074949518944363E-3</v>
      </c>
      <c r="I478" s="47"/>
    </row>
    <row r="479" spans="1:9">
      <c r="A479" s="109">
        <v>44924</v>
      </c>
      <c r="B479" s="112">
        <v>177.55</v>
      </c>
      <c r="C479" s="112">
        <v>178.3</v>
      </c>
      <c r="D479" s="112">
        <v>177.07</v>
      </c>
      <c r="E479" s="112">
        <v>177.56</v>
      </c>
      <c r="F479" s="112">
        <v>168.38</v>
      </c>
      <c r="G479" s="113">
        <v>2828800</v>
      </c>
      <c r="H479" s="107">
        <f t="shared" si="7"/>
        <v>5.0737181400345869E-3</v>
      </c>
      <c r="I479" s="47"/>
    </row>
    <row r="480" spans="1:9">
      <c r="A480" s="109">
        <v>44923</v>
      </c>
      <c r="B480" s="112">
        <v>177.76</v>
      </c>
      <c r="C480" s="112">
        <v>178.45</v>
      </c>
      <c r="D480" s="112">
        <v>176.65</v>
      </c>
      <c r="E480" s="112">
        <v>176.66</v>
      </c>
      <c r="F480" s="112">
        <v>167.53</v>
      </c>
      <c r="G480" s="113">
        <v>2645400</v>
      </c>
      <c r="H480" s="107">
        <f t="shared" si="7"/>
        <v>-4.3385237133007834E-3</v>
      </c>
      <c r="I480" s="47"/>
    </row>
    <row r="481" spans="1:9">
      <c r="A481" s="109">
        <v>44922</v>
      </c>
      <c r="B481" s="112">
        <v>178.11</v>
      </c>
      <c r="C481" s="112">
        <v>178.35</v>
      </c>
      <c r="D481" s="112">
        <v>176.99</v>
      </c>
      <c r="E481" s="112">
        <v>177.43</v>
      </c>
      <c r="F481" s="112">
        <v>168.26</v>
      </c>
      <c r="G481" s="113">
        <v>3067300</v>
      </c>
      <c r="H481" s="107">
        <f t="shared" si="7"/>
        <v>-2.9707088111230093E-4</v>
      </c>
      <c r="I481" s="47"/>
    </row>
    <row r="482" spans="1:9">
      <c r="A482" s="109">
        <v>44918</v>
      </c>
      <c r="B482" s="112">
        <v>176.67</v>
      </c>
      <c r="C482" s="112">
        <v>177.52</v>
      </c>
      <c r="D482" s="112">
        <v>175.81</v>
      </c>
      <c r="E482" s="112">
        <v>177.48</v>
      </c>
      <c r="F482" s="112">
        <v>168.31</v>
      </c>
      <c r="G482" s="113">
        <v>3683400</v>
      </c>
      <c r="H482" s="107">
        <f t="shared" si="7"/>
        <v>2.5613533476292996E-3</v>
      </c>
      <c r="I482" s="47"/>
    </row>
    <row r="483" spans="1:9">
      <c r="A483" s="109">
        <v>44917</v>
      </c>
      <c r="B483" s="112">
        <v>176.77</v>
      </c>
      <c r="C483" s="112">
        <v>177.51</v>
      </c>
      <c r="D483" s="112">
        <v>175.34</v>
      </c>
      <c r="E483" s="112">
        <v>177.03</v>
      </c>
      <c r="F483" s="112">
        <v>167.88</v>
      </c>
      <c r="G483" s="113">
        <v>5709100</v>
      </c>
      <c r="H483" s="107">
        <f t="shared" si="7"/>
        <v>-3.6795252225519559E-3</v>
      </c>
      <c r="I483" s="47"/>
    </row>
    <row r="484" spans="1:9">
      <c r="A484" s="109">
        <v>44916</v>
      </c>
      <c r="B484" s="112">
        <v>176.27</v>
      </c>
      <c r="C484" s="112">
        <v>178.18</v>
      </c>
      <c r="D484" s="112">
        <v>175.65</v>
      </c>
      <c r="E484" s="112">
        <v>177.68</v>
      </c>
      <c r="F484" s="112">
        <v>168.5</v>
      </c>
      <c r="G484" s="113">
        <v>5472000</v>
      </c>
      <c r="H484" s="107">
        <f t="shared" si="7"/>
        <v>1.1465274026051964E-2</v>
      </c>
      <c r="I484" s="47"/>
    </row>
    <row r="485" spans="1:9">
      <c r="A485" s="109">
        <v>44915</v>
      </c>
      <c r="B485" s="112">
        <v>176</v>
      </c>
      <c r="C485" s="112">
        <v>176.44</v>
      </c>
      <c r="D485" s="112">
        <v>175.17</v>
      </c>
      <c r="E485" s="112">
        <v>175.67</v>
      </c>
      <c r="F485" s="112">
        <v>166.59</v>
      </c>
      <c r="G485" s="113">
        <v>6174700</v>
      </c>
      <c r="H485" s="107">
        <f t="shared" si="7"/>
        <v>1.08166576527857E-3</v>
      </c>
      <c r="I485" s="47"/>
    </row>
    <row r="486" spans="1:9">
      <c r="A486" s="109">
        <v>44914</v>
      </c>
      <c r="B486" s="112">
        <v>175.35</v>
      </c>
      <c r="C486" s="112">
        <v>176.17</v>
      </c>
      <c r="D486" s="112">
        <v>174.07</v>
      </c>
      <c r="E486" s="112">
        <v>175.48</v>
      </c>
      <c r="F486" s="112">
        <v>166.41</v>
      </c>
      <c r="G486" s="113">
        <v>5736000</v>
      </c>
      <c r="H486" s="107">
        <f t="shared" si="7"/>
        <v>-1.0804970286332123E-3</v>
      </c>
      <c r="I486" s="47"/>
    </row>
    <row r="487" spans="1:9">
      <c r="A487" s="109">
        <v>44911</v>
      </c>
      <c r="B487" s="112">
        <v>177</v>
      </c>
      <c r="C487" s="112">
        <v>177</v>
      </c>
      <c r="D487" s="112">
        <v>174.86</v>
      </c>
      <c r="E487" s="112">
        <v>175.67</v>
      </c>
      <c r="F487" s="112">
        <v>166.59</v>
      </c>
      <c r="G487" s="113">
        <v>18841800</v>
      </c>
      <c r="H487" s="107">
        <f t="shared" si="7"/>
        <v>-1.0278041825094997E-2</v>
      </c>
      <c r="I487" s="47"/>
    </row>
    <row r="488" spans="1:9">
      <c r="A488" s="109">
        <v>44910</v>
      </c>
      <c r="B488" s="112">
        <v>179.2</v>
      </c>
      <c r="C488" s="112">
        <v>179.84</v>
      </c>
      <c r="D488" s="112">
        <v>176.4</v>
      </c>
      <c r="E488" s="112">
        <v>177.49</v>
      </c>
      <c r="F488" s="112">
        <v>168.32</v>
      </c>
      <c r="G488" s="113">
        <v>7602400</v>
      </c>
      <c r="H488" s="107">
        <f t="shared" si="7"/>
        <v>-1.2612189828122284E-2</v>
      </c>
      <c r="I488" s="47"/>
    </row>
    <row r="489" spans="1:9">
      <c r="A489" s="109">
        <v>44909</v>
      </c>
      <c r="B489" s="112">
        <v>178.58</v>
      </c>
      <c r="C489" s="112">
        <v>181.04</v>
      </c>
      <c r="D489" s="112">
        <v>178.58</v>
      </c>
      <c r="E489" s="112">
        <v>179.76</v>
      </c>
      <c r="F489" s="112">
        <v>170.47</v>
      </c>
      <c r="G489" s="113">
        <v>9533600</v>
      </c>
      <c r="H489" s="107">
        <f t="shared" si="7"/>
        <v>3.059723448073023E-3</v>
      </c>
      <c r="I489" s="47"/>
    </row>
    <row r="490" spans="1:9">
      <c r="A490" s="109">
        <v>44908</v>
      </c>
      <c r="B490" s="112">
        <v>179.1</v>
      </c>
      <c r="C490" s="112">
        <v>180.2</v>
      </c>
      <c r="D490" s="112">
        <v>178.31</v>
      </c>
      <c r="E490" s="112">
        <v>179.21</v>
      </c>
      <c r="F490" s="112">
        <v>169.95</v>
      </c>
      <c r="G490" s="113">
        <v>9177500</v>
      </c>
      <c r="H490" s="107">
        <f t="shared" si="7"/>
        <v>7.7082715683366911E-3</v>
      </c>
      <c r="I490" s="47"/>
    </row>
    <row r="491" spans="1:9">
      <c r="A491" s="109">
        <v>44907</v>
      </c>
      <c r="B491" s="112">
        <v>175.95</v>
      </c>
      <c r="C491" s="112">
        <v>177.87</v>
      </c>
      <c r="D491" s="112">
        <v>175.6</v>
      </c>
      <c r="E491" s="112">
        <v>177.84</v>
      </c>
      <c r="F491" s="112">
        <v>168.65</v>
      </c>
      <c r="G491" s="113">
        <v>4882400</v>
      </c>
      <c r="H491" s="107">
        <f t="shared" si="7"/>
        <v>1.1940477619104819E-2</v>
      </c>
      <c r="I491" s="47"/>
    </row>
    <row r="492" spans="1:9">
      <c r="A492" s="109">
        <v>44904</v>
      </c>
      <c r="B492" s="112">
        <v>177.12</v>
      </c>
      <c r="C492" s="112">
        <v>177.89</v>
      </c>
      <c r="D492" s="112">
        <v>175.66</v>
      </c>
      <c r="E492" s="112">
        <v>175.74</v>
      </c>
      <c r="F492" s="112">
        <v>166.66</v>
      </c>
      <c r="G492" s="113">
        <v>4561000</v>
      </c>
      <c r="H492" s="107">
        <f t="shared" si="7"/>
        <v>-8.2123303975243731E-3</v>
      </c>
      <c r="I492" s="47"/>
    </row>
    <row r="493" spans="1:9">
      <c r="A493" s="109">
        <v>44903</v>
      </c>
      <c r="B493" s="112">
        <v>176.82</v>
      </c>
      <c r="C493" s="112">
        <v>177.47</v>
      </c>
      <c r="D493" s="112">
        <v>176.34</v>
      </c>
      <c r="E493" s="112">
        <v>177.2</v>
      </c>
      <c r="F493" s="112">
        <v>168.04</v>
      </c>
      <c r="G493" s="113">
        <v>4798500</v>
      </c>
      <c r="H493" s="107">
        <f t="shared" si="7"/>
        <v>1.7856079995239057E-4</v>
      </c>
      <c r="I493" s="47"/>
    </row>
    <row r="494" spans="1:9">
      <c r="A494" s="109">
        <v>44902</v>
      </c>
      <c r="B494" s="112">
        <v>176.57</v>
      </c>
      <c r="C494" s="112">
        <v>177.88</v>
      </c>
      <c r="D494" s="112">
        <v>176.23</v>
      </c>
      <c r="E494" s="112">
        <v>177.17</v>
      </c>
      <c r="F494" s="112">
        <v>168.01</v>
      </c>
      <c r="G494" s="113">
        <v>5702600</v>
      </c>
      <c r="H494" s="107">
        <f t="shared" si="7"/>
        <v>6.0479041916167119E-3</v>
      </c>
      <c r="I494" s="47"/>
    </row>
    <row r="495" spans="1:9">
      <c r="A495" s="109">
        <v>44901</v>
      </c>
      <c r="B495" s="112">
        <v>179.92</v>
      </c>
      <c r="C495" s="112">
        <v>180</v>
      </c>
      <c r="D495" s="112">
        <v>175.93</v>
      </c>
      <c r="E495" s="112">
        <v>176.1</v>
      </c>
      <c r="F495" s="112">
        <v>167</v>
      </c>
      <c r="G495" s="113">
        <v>7943500</v>
      </c>
      <c r="H495" s="107">
        <f t="shared" si="7"/>
        <v>-1.4981715229444333E-2</v>
      </c>
      <c r="I495" s="47"/>
    </row>
    <row r="496" spans="1:9">
      <c r="A496" s="109">
        <v>44900</v>
      </c>
      <c r="B496" s="112">
        <v>178.36</v>
      </c>
      <c r="C496" s="112">
        <v>179.36</v>
      </c>
      <c r="D496" s="112">
        <v>178</v>
      </c>
      <c r="E496" s="112">
        <v>178.78</v>
      </c>
      <c r="F496" s="112">
        <v>169.54</v>
      </c>
      <c r="G496" s="113">
        <v>5120600</v>
      </c>
      <c r="H496" s="107">
        <f t="shared" si="7"/>
        <v>-5.3056652714734075E-4</v>
      </c>
      <c r="I496" s="47"/>
    </row>
    <row r="497" spans="1:9">
      <c r="A497" s="109">
        <v>44897</v>
      </c>
      <c r="B497" s="112">
        <v>177.5</v>
      </c>
      <c r="C497" s="112">
        <v>178.96</v>
      </c>
      <c r="D497" s="112">
        <v>176.96</v>
      </c>
      <c r="E497" s="112">
        <v>178.88</v>
      </c>
      <c r="F497" s="112">
        <v>169.63</v>
      </c>
      <c r="G497" s="113">
        <v>5823900</v>
      </c>
      <c r="H497" s="107">
        <f t="shared" si="7"/>
        <v>7.6696165191737732E-4</v>
      </c>
      <c r="I497" s="47"/>
    </row>
    <row r="498" spans="1:9">
      <c r="A498" s="109">
        <v>44896</v>
      </c>
      <c r="B498" s="112">
        <v>179</v>
      </c>
      <c r="C498" s="112">
        <v>179.96</v>
      </c>
      <c r="D498" s="112">
        <v>177.77</v>
      </c>
      <c r="E498" s="112">
        <v>178.74</v>
      </c>
      <c r="F498" s="112">
        <v>169.5</v>
      </c>
      <c r="G498" s="113">
        <v>6282600</v>
      </c>
      <c r="H498" s="107">
        <f t="shared" si="7"/>
        <v>4.1469194312795535E-3</v>
      </c>
      <c r="I498" s="47"/>
    </row>
    <row r="499" spans="1:9">
      <c r="A499" s="109">
        <v>44895</v>
      </c>
      <c r="B499" s="112">
        <v>176.37</v>
      </c>
      <c r="C499" s="112">
        <v>178.01</v>
      </c>
      <c r="D499" s="112">
        <v>174.78</v>
      </c>
      <c r="E499" s="112">
        <v>178</v>
      </c>
      <c r="F499" s="112">
        <v>168.8</v>
      </c>
      <c r="G499" s="113">
        <v>13288000</v>
      </c>
      <c r="H499" s="107">
        <f t="shared" si="7"/>
        <v>1.0838972393556513E-2</v>
      </c>
      <c r="I499" s="47"/>
    </row>
    <row r="500" spans="1:9">
      <c r="A500" s="109">
        <v>44894</v>
      </c>
      <c r="B500" s="112">
        <v>177.01</v>
      </c>
      <c r="C500" s="112">
        <v>177.26</v>
      </c>
      <c r="D500" s="112">
        <v>174.66</v>
      </c>
      <c r="E500" s="112">
        <v>176.09</v>
      </c>
      <c r="F500" s="112">
        <v>166.99</v>
      </c>
      <c r="G500" s="113">
        <v>6700500</v>
      </c>
      <c r="H500" s="107">
        <f t="shared" si="7"/>
        <v>-6.9576593720265673E-3</v>
      </c>
      <c r="I500" s="47"/>
    </row>
    <row r="501" spans="1:9">
      <c r="A501" s="109">
        <v>44893</v>
      </c>
      <c r="B501" s="112">
        <v>176.75</v>
      </c>
      <c r="C501" s="112">
        <v>177.77</v>
      </c>
      <c r="D501" s="112">
        <v>176.56</v>
      </c>
      <c r="E501" s="112">
        <v>177.33</v>
      </c>
      <c r="F501" s="112">
        <v>168.16</v>
      </c>
      <c r="G501" s="113">
        <v>6183100</v>
      </c>
      <c r="H501" s="107">
        <f t="shared" si="7"/>
        <v>4.7596382674907234E-4</v>
      </c>
      <c r="I501" s="47"/>
    </row>
    <row r="502" spans="1:9">
      <c r="A502" s="109">
        <v>44890</v>
      </c>
      <c r="B502" s="112">
        <v>177.38</v>
      </c>
      <c r="C502" s="112">
        <v>178.12</v>
      </c>
      <c r="D502" s="112">
        <v>176.86</v>
      </c>
      <c r="E502" s="112">
        <v>177.24</v>
      </c>
      <c r="F502" s="112">
        <v>168.08</v>
      </c>
      <c r="G502" s="113">
        <v>3058600</v>
      </c>
      <c r="H502" s="107">
        <f t="shared" si="7"/>
        <v>1.3106159895150652E-3</v>
      </c>
      <c r="I502" s="47"/>
    </row>
    <row r="503" spans="1:9">
      <c r="A503" s="109">
        <v>44888</v>
      </c>
      <c r="B503" s="112">
        <v>176.44</v>
      </c>
      <c r="C503" s="112">
        <v>177.4</v>
      </c>
      <c r="D503" s="112">
        <v>176.01</v>
      </c>
      <c r="E503" s="112">
        <v>177.01</v>
      </c>
      <c r="F503" s="112">
        <v>167.86</v>
      </c>
      <c r="G503" s="113">
        <v>5389200</v>
      </c>
      <c r="H503" s="107">
        <f t="shared" si="7"/>
        <v>1.0734732824427887E-3</v>
      </c>
      <c r="I503" s="47"/>
    </row>
    <row r="504" spans="1:9">
      <c r="A504" s="109">
        <v>44887</v>
      </c>
      <c r="B504" s="112">
        <v>176.4</v>
      </c>
      <c r="C504" s="112">
        <v>177.19</v>
      </c>
      <c r="D504" s="112">
        <v>176.33</v>
      </c>
      <c r="E504" s="112">
        <v>176.82</v>
      </c>
      <c r="F504" s="112">
        <v>167.68</v>
      </c>
      <c r="G504" s="113">
        <v>4707900</v>
      </c>
      <c r="H504" s="107">
        <f t="shared" si="7"/>
        <v>4.8540780248097458E-3</v>
      </c>
      <c r="I504" s="47"/>
    </row>
    <row r="505" spans="1:9">
      <c r="A505" s="109">
        <v>44886</v>
      </c>
      <c r="B505" s="112">
        <v>175.89</v>
      </c>
      <c r="C505" s="112">
        <v>176.55</v>
      </c>
      <c r="D505" s="112">
        <v>174.83</v>
      </c>
      <c r="E505" s="112">
        <v>175.97</v>
      </c>
      <c r="F505" s="112">
        <v>166.87</v>
      </c>
      <c r="G505" s="113">
        <v>5706600</v>
      </c>
      <c r="H505" s="107" t="e">
        <f t="shared" si="7"/>
        <v>#DIV/0!</v>
      </c>
    </row>
  </sheetData>
  <sortState xmlns:xlrd2="http://schemas.microsoft.com/office/spreadsheetml/2017/richdata2" ref="A2:H494">
    <sortCondition descending="1" ref="A2:A49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E2CA-3BAC-4663-98FC-222B928AD162}">
  <dimension ref="A1:Q505"/>
  <sheetViews>
    <sheetView workbookViewId="0">
      <selection activeCell="P23" sqref="P23"/>
    </sheetView>
  </sheetViews>
  <sheetFormatPr defaultRowHeight="15.6"/>
  <cols>
    <col min="1" max="1" width="10.28515625" style="2" customWidth="1"/>
    <col min="6" max="6" width="9.85546875" customWidth="1"/>
    <col min="7" max="7" width="13.7109375" customWidth="1"/>
    <col min="8" max="8" width="13.85546875" style="46" customWidth="1"/>
  </cols>
  <sheetData>
    <row r="1" spans="1:17" ht="15">
      <c r="A1" s="108" t="s">
        <v>6</v>
      </c>
      <c r="B1" s="104" t="s">
        <v>268</v>
      </c>
      <c r="C1" s="104" t="s">
        <v>269</v>
      </c>
      <c r="D1" s="104" t="s">
        <v>270</v>
      </c>
      <c r="E1" s="104" t="s">
        <v>278</v>
      </c>
      <c r="F1" s="104" t="s">
        <v>279</v>
      </c>
      <c r="G1" s="104" t="s">
        <v>273</v>
      </c>
      <c r="H1" s="104" t="s">
        <v>274</v>
      </c>
      <c r="K1" s="1" t="s">
        <v>280</v>
      </c>
    </row>
    <row r="2" spans="1:17" ht="15">
      <c r="A2" s="109">
        <v>45617</v>
      </c>
      <c r="B2" s="105">
        <v>5940.58</v>
      </c>
      <c r="C2" s="105">
        <v>5963.32</v>
      </c>
      <c r="D2" s="105">
        <v>5887.26</v>
      </c>
      <c r="E2" s="105">
        <v>5948.71</v>
      </c>
      <c r="F2" s="105">
        <v>5948.71</v>
      </c>
      <c r="G2" s="106">
        <v>2857014000</v>
      </c>
      <c r="H2" s="107">
        <f>(F2-F3)/F3</f>
        <v>5.3404449131417816E-3</v>
      </c>
      <c r="K2" s="1" t="s">
        <v>281</v>
      </c>
    </row>
    <row r="3" spans="1:17" ht="15">
      <c r="A3" s="109">
        <v>45616</v>
      </c>
      <c r="B3" s="105">
        <v>5914.34</v>
      </c>
      <c r="C3" s="105">
        <v>5920.67</v>
      </c>
      <c r="D3" s="105">
        <v>5860.56</v>
      </c>
      <c r="E3" s="105">
        <v>5917.11</v>
      </c>
      <c r="F3" s="105">
        <v>5917.11</v>
      </c>
      <c r="G3" s="106">
        <v>3772620000</v>
      </c>
      <c r="H3" s="107">
        <f t="shared" ref="H3:H66" si="0">(F3-F4)/F4</f>
        <v>2.1970667468896151E-5</v>
      </c>
    </row>
    <row r="4" spans="1:17" ht="15">
      <c r="A4" s="109">
        <v>45615</v>
      </c>
      <c r="B4" s="105">
        <v>5870.05</v>
      </c>
      <c r="C4" s="105">
        <v>5923.51</v>
      </c>
      <c r="D4" s="105">
        <v>5855.29</v>
      </c>
      <c r="E4" s="105">
        <v>5916.98</v>
      </c>
      <c r="F4" s="105">
        <v>5916.98</v>
      </c>
      <c r="G4" s="106">
        <v>4036940000</v>
      </c>
      <c r="H4" s="107">
        <f t="shared" si="0"/>
        <v>3.9636081050355597E-3</v>
      </c>
    </row>
    <row r="5" spans="1:17" ht="15">
      <c r="A5" s="109">
        <v>45614</v>
      </c>
      <c r="B5" s="105">
        <v>5874.17</v>
      </c>
      <c r="C5" s="105">
        <v>5908.12</v>
      </c>
      <c r="D5" s="105">
        <v>5865.95</v>
      </c>
      <c r="E5" s="105">
        <v>5893.62</v>
      </c>
      <c r="F5" s="105">
        <v>5893.62</v>
      </c>
      <c r="G5" s="106">
        <v>3983860000</v>
      </c>
      <c r="H5" s="107">
        <f t="shared" si="0"/>
        <v>3.9178144727473416E-3</v>
      </c>
    </row>
    <row r="6" spans="1:17" ht="15">
      <c r="A6" s="109">
        <v>45611</v>
      </c>
      <c r="B6" s="105">
        <v>5912.79</v>
      </c>
      <c r="C6" s="105">
        <v>5915.32</v>
      </c>
      <c r="D6" s="105">
        <v>5853.01</v>
      </c>
      <c r="E6" s="105">
        <v>5870.62</v>
      </c>
      <c r="F6" s="105">
        <v>5870.62</v>
      </c>
      <c r="G6" s="106">
        <v>4590960000</v>
      </c>
      <c r="H6" s="107">
        <f t="shared" si="0"/>
        <v>-1.3203522508181844E-2</v>
      </c>
    </row>
    <row r="7" spans="1:17" ht="15">
      <c r="A7" s="109">
        <v>45610</v>
      </c>
      <c r="B7" s="105">
        <v>5989.68</v>
      </c>
      <c r="C7" s="105">
        <v>5993.88</v>
      </c>
      <c r="D7" s="105">
        <v>5942.28</v>
      </c>
      <c r="E7" s="105">
        <v>5949.17</v>
      </c>
      <c r="F7" s="105">
        <v>5949.17</v>
      </c>
      <c r="G7" s="106">
        <v>4184570000</v>
      </c>
      <c r="H7" s="107">
        <f t="shared" si="0"/>
        <v>-6.0497412027306595E-3</v>
      </c>
    </row>
    <row r="8" spans="1:17" ht="15">
      <c r="A8" s="109">
        <v>45609</v>
      </c>
      <c r="B8" s="105">
        <v>5985.75</v>
      </c>
      <c r="C8" s="105">
        <v>6008.19</v>
      </c>
      <c r="D8" s="105">
        <v>5965.91</v>
      </c>
      <c r="E8" s="105">
        <v>5985.38</v>
      </c>
      <c r="F8" s="105">
        <v>5985.38</v>
      </c>
      <c r="G8" s="106">
        <v>4220180000</v>
      </c>
      <c r="H8" s="107">
        <f t="shared" si="0"/>
        <v>2.3228648443602469E-4</v>
      </c>
      <c r="L8" s="102" t="s">
        <v>282</v>
      </c>
      <c r="M8" s="102"/>
      <c r="N8" s="102" t="s">
        <v>283</v>
      </c>
      <c r="O8" s="102"/>
      <c r="P8" s="102" t="s">
        <v>284</v>
      </c>
      <c r="Q8" s="102"/>
    </row>
    <row r="9" spans="1:17" ht="15">
      <c r="A9" s="109">
        <v>45608</v>
      </c>
      <c r="B9" s="105">
        <v>6003.6</v>
      </c>
      <c r="C9" s="105">
        <v>6009.92</v>
      </c>
      <c r="D9" s="105">
        <v>5960.08</v>
      </c>
      <c r="E9" s="105">
        <v>5983.99</v>
      </c>
      <c r="F9" s="105">
        <v>5983.99</v>
      </c>
      <c r="G9" s="106">
        <v>4243400000</v>
      </c>
      <c r="H9" s="107">
        <f t="shared" si="0"/>
        <v>-2.8926824797754808E-3</v>
      </c>
      <c r="L9" s="103">
        <f>N9/P9</f>
        <v>0.10132684356834108</v>
      </c>
      <c r="M9" s="103"/>
      <c r="N9" s="103">
        <f>AVERAGE(H2:H504)</f>
        <v>8.4946310861258871E-4</v>
      </c>
      <c r="O9" s="103"/>
      <c r="P9" s="103">
        <f>_xlfn.STDEV.S(H2:H504)</f>
        <v>8.3833965284792304E-3</v>
      </c>
      <c r="Q9" s="103"/>
    </row>
    <row r="10" spans="1:17" ht="15">
      <c r="A10" s="109">
        <v>45607</v>
      </c>
      <c r="B10" s="105">
        <v>6008.86</v>
      </c>
      <c r="C10" s="105">
        <v>6017.31</v>
      </c>
      <c r="D10" s="105">
        <v>5986.69</v>
      </c>
      <c r="E10" s="105">
        <v>6001.35</v>
      </c>
      <c r="F10" s="105">
        <v>6001.35</v>
      </c>
      <c r="G10" s="106">
        <v>4333000000</v>
      </c>
      <c r="H10" s="107">
        <f t="shared" si="0"/>
        <v>9.6905366322306251E-4</v>
      </c>
    </row>
    <row r="11" spans="1:17" ht="15">
      <c r="A11" s="109">
        <v>45604</v>
      </c>
      <c r="B11" s="105">
        <v>5976.76</v>
      </c>
      <c r="C11" s="105">
        <v>6012.45</v>
      </c>
      <c r="D11" s="105">
        <v>5976.76</v>
      </c>
      <c r="E11" s="105">
        <v>5995.54</v>
      </c>
      <c r="F11" s="105">
        <v>5995.54</v>
      </c>
      <c r="G11" s="106">
        <v>4666740000</v>
      </c>
      <c r="H11" s="107">
        <f t="shared" si="0"/>
        <v>3.7568431802580903E-3</v>
      </c>
    </row>
    <row r="12" spans="1:17" ht="15">
      <c r="A12" s="109">
        <v>45603</v>
      </c>
      <c r="B12" s="105">
        <v>5947.21</v>
      </c>
      <c r="C12" s="105">
        <v>5983.84</v>
      </c>
      <c r="D12" s="105">
        <v>5947.21</v>
      </c>
      <c r="E12" s="105">
        <v>5973.1</v>
      </c>
      <c r="F12" s="105">
        <v>5973.1</v>
      </c>
      <c r="G12" s="106">
        <v>4925740000</v>
      </c>
      <c r="H12" s="107">
        <f t="shared" si="0"/>
        <v>7.4312198939457987E-3</v>
      </c>
    </row>
    <row r="13" spans="1:17" ht="15">
      <c r="A13" s="109">
        <v>45602</v>
      </c>
      <c r="B13" s="105">
        <v>5864.89</v>
      </c>
      <c r="C13" s="105">
        <v>5936.14</v>
      </c>
      <c r="D13" s="105">
        <v>5864.89</v>
      </c>
      <c r="E13" s="105">
        <v>5929.04</v>
      </c>
      <c r="F13" s="105">
        <v>5929.04</v>
      </c>
      <c r="G13" s="106">
        <v>6329530000</v>
      </c>
      <c r="H13" s="107">
        <f t="shared" si="0"/>
        <v>2.5295879476236217E-2</v>
      </c>
    </row>
    <row r="14" spans="1:17" ht="15">
      <c r="A14" s="109">
        <v>45601</v>
      </c>
      <c r="B14" s="105">
        <v>5722.43</v>
      </c>
      <c r="C14" s="105">
        <v>5783.44</v>
      </c>
      <c r="D14" s="105">
        <v>5722.1</v>
      </c>
      <c r="E14" s="105">
        <v>5782.76</v>
      </c>
      <c r="F14" s="105">
        <v>5782.76</v>
      </c>
      <c r="G14" s="106">
        <v>3768310000</v>
      </c>
      <c r="H14" s="107">
        <f t="shared" si="0"/>
        <v>1.2265675189796861E-2</v>
      </c>
    </row>
    <row r="15" spans="1:17" ht="15">
      <c r="A15" s="109">
        <v>45600</v>
      </c>
      <c r="B15" s="105">
        <v>5725.15</v>
      </c>
      <c r="C15" s="105">
        <v>5741.43</v>
      </c>
      <c r="D15" s="105">
        <v>5696.51</v>
      </c>
      <c r="E15" s="105">
        <v>5712.69</v>
      </c>
      <c r="F15" s="105">
        <v>5712.69</v>
      </c>
      <c r="G15" s="106">
        <v>3602060000</v>
      </c>
      <c r="H15" s="107">
        <f t="shared" si="0"/>
        <v>-2.81210724759122E-3</v>
      </c>
    </row>
    <row r="16" spans="1:17" ht="15">
      <c r="A16" s="109">
        <v>45597</v>
      </c>
      <c r="B16" s="105">
        <v>5723.22</v>
      </c>
      <c r="C16" s="105">
        <v>5772.52</v>
      </c>
      <c r="D16" s="105">
        <v>5723.22</v>
      </c>
      <c r="E16" s="105">
        <v>5728.8</v>
      </c>
      <c r="F16" s="105">
        <v>5728.8</v>
      </c>
      <c r="G16" s="106">
        <v>3796450000</v>
      </c>
      <c r="H16" s="107">
        <f t="shared" si="0"/>
        <v>4.0925781489628979E-3</v>
      </c>
    </row>
    <row r="17" spans="1:8" ht="15">
      <c r="A17" s="109">
        <v>45596</v>
      </c>
      <c r="B17" s="105">
        <v>5775.34</v>
      </c>
      <c r="C17" s="105">
        <v>5775.34</v>
      </c>
      <c r="D17" s="105">
        <v>5702.86</v>
      </c>
      <c r="E17" s="105">
        <v>5705.45</v>
      </c>
      <c r="F17" s="105">
        <v>5705.45</v>
      </c>
      <c r="G17" s="106">
        <v>4425660000</v>
      </c>
      <c r="H17" s="107">
        <f t="shared" si="0"/>
        <v>-1.8614747655095704E-2</v>
      </c>
    </row>
    <row r="18" spans="1:8" ht="15">
      <c r="A18" s="109">
        <v>45595</v>
      </c>
      <c r="B18" s="105">
        <v>5832.65</v>
      </c>
      <c r="C18" s="105">
        <v>5850.94</v>
      </c>
      <c r="D18" s="105">
        <v>5811.28</v>
      </c>
      <c r="E18" s="105">
        <v>5813.67</v>
      </c>
      <c r="F18" s="105">
        <v>5813.67</v>
      </c>
      <c r="G18" s="106">
        <v>3851120000</v>
      </c>
      <c r="H18" s="107">
        <f t="shared" si="0"/>
        <v>-3.3002338451410271E-3</v>
      </c>
    </row>
    <row r="19" spans="1:8" ht="15">
      <c r="A19" s="109">
        <v>45594</v>
      </c>
      <c r="B19" s="105">
        <v>5819.68</v>
      </c>
      <c r="C19" s="105">
        <v>5847.19</v>
      </c>
      <c r="D19" s="105">
        <v>5802.17</v>
      </c>
      <c r="E19" s="105">
        <v>5832.92</v>
      </c>
      <c r="F19" s="105">
        <v>5832.92</v>
      </c>
      <c r="G19" s="106">
        <v>3879100000</v>
      </c>
      <c r="H19" s="107">
        <f t="shared" si="0"/>
        <v>1.6141440228589642E-3</v>
      </c>
    </row>
    <row r="20" spans="1:8" ht="15">
      <c r="A20" s="109">
        <v>45593</v>
      </c>
      <c r="B20" s="105">
        <v>5833.93</v>
      </c>
      <c r="C20" s="105">
        <v>5842.92</v>
      </c>
      <c r="D20" s="105">
        <v>5823.08</v>
      </c>
      <c r="E20" s="105">
        <v>5823.52</v>
      </c>
      <c r="F20" s="105">
        <v>5823.52</v>
      </c>
      <c r="G20" s="106">
        <v>3691280000</v>
      </c>
      <c r="H20" s="107">
        <f t="shared" si="0"/>
        <v>2.6514603692762108E-3</v>
      </c>
    </row>
    <row r="21" spans="1:8" ht="15">
      <c r="A21" s="109">
        <v>45590</v>
      </c>
      <c r="B21" s="105">
        <v>5826.75</v>
      </c>
      <c r="C21" s="105">
        <v>5862.82</v>
      </c>
      <c r="D21" s="105">
        <v>5799.98</v>
      </c>
      <c r="E21" s="105">
        <v>5808.12</v>
      </c>
      <c r="F21" s="105">
        <v>5808.12</v>
      </c>
      <c r="G21" s="106">
        <v>3501280000</v>
      </c>
      <c r="H21" s="107">
        <f t="shared" si="0"/>
        <v>-2.9949086552856383E-4</v>
      </c>
    </row>
    <row r="22" spans="1:8" ht="15">
      <c r="A22" s="109">
        <v>45589</v>
      </c>
      <c r="B22" s="105">
        <v>5817.8</v>
      </c>
      <c r="C22" s="105">
        <v>5817.8</v>
      </c>
      <c r="D22" s="105">
        <v>5784.92</v>
      </c>
      <c r="E22" s="105">
        <v>5809.86</v>
      </c>
      <c r="F22" s="105">
        <v>5809.86</v>
      </c>
      <c r="G22" s="106">
        <v>3543030000</v>
      </c>
      <c r="H22" s="107">
        <f t="shared" si="0"/>
        <v>2.1457820892741251E-3</v>
      </c>
    </row>
    <row r="23" spans="1:8" ht="15">
      <c r="A23" s="109">
        <v>45588</v>
      </c>
      <c r="B23" s="105">
        <v>5834.5</v>
      </c>
      <c r="C23" s="105">
        <v>5834.85</v>
      </c>
      <c r="D23" s="105">
        <v>5762.41</v>
      </c>
      <c r="E23" s="105">
        <v>5797.42</v>
      </c>
      <c r="F23" s="105">
        <v>5797.42</v>
      </c>
      <c r="G23" s="106">
        <v>3532650000</v>
      </c>
      <c r="H23" s="107">
        <f t="shared" si="0"/>
        <v>-9.1912770030078868E-3</v>
      </c>
    </row>
    <row r="24" spans="1:8" ht="15">
      <c r="A24" s="109">
        <v>45587</v>
      </c>
      <c r="B24" s="105">
        <v>5832.7</v>
      </c>
      <c r="C24" s="105">
        <v>5863.04</v>
      </c>
      <c r="D24" s="105">
        <v>5821.17</v>
      </c>
      <c r="E24" s="105">
        <v>5851.2</v>
      </c>
      <c r="F24" s="105">
        <v>5851.2</v>
      </c>
      <c r="G24" s="106">
        <v>3342080000</v>
      </c>
      <c r="H24" s="107">
        <f t="shared" si="0"/>
        <v>-4.748905872585396E-4</v>
      </c>
    </row>
    <row r="25" spans="1:8" ht="15">
      <c r="A25" s="109">
        <v>45586</v>
      </c>
      <c r="B25" s="105">
        <v>5857.82</v>
      </c>
      <c r="C25" s="105">
        <v>5866.92</v>
      </c>
      <c r="D25" s="105">
        <v>5824.79</v>
      </c>
      <c r="E25" s="105">
        <v>5853.98</v>
      </c>
      <c r="F25" s="105">
        <v>5853.98</v>
      </c>
      <c r="G25" s="106">
        <v>3407010000</v>
      </c>
      <c r="H25" s="107">
        <f t="shared" si="0"/>
        <v>-1.8227794573267566E-3</v>
      </c>
    </row>
    <row r="26" spans="1:8" ht="15">
      <c r="A26" s="109">
        <v>45583</v>
      </c>
      <c r="B26" s="105">
        <v>5859.43</v>
      </c>
      <c r="C26" s="105">
        <v>5872.17</v>
      </c>
      <c r="D26" s="105">
        <v>5846.11</v>
      </c>
      <c r="E26" s="105">
        <v>5864.67</v>
      </c>
      <c r="F26" s="105">
        <v>5864.67</v>
      </c>
      <c r="G26" s="106">
        <v>3374490000</v>
      </c>
      <c r="H26" s="107">
        <f t="shared" si="0"/>
        <v>3.9716030382762934E-3</v>
      </c>
    </row>
    <row r="27" spans="1:8" ht="15">
      <c r="A27" s="109">
        <v>45582</v>
      </c>
      <c r="B27" s="105">
        <v>5875.62</v>
      </c>
      <c r="C27" s="105">
        <v>5878.46</v>
      </c>
      <c r="D27" s="105">
        <v>5840.25</v>
      </c>
      <c r="E27" s="105">
        <v>5841.47</v>
      </c>
      <c r="F27" s="105">
        <v>5841.47</v>
      </c>
      <c r="G27" s="106">
        <v>3480010000</v>
      </c>
      <c r="H27" s="107">
        <f t="shared" si="0"/>
        <v>-1.7116048520574346E-4</v>
      </c>
    </row>
    <row r="28" spans="1:8" ht="15">
      <c r="A28" s="109">
        <v>45581</v>
      </c>
      <c r="B28" s="105">
        <v>5816.58</v>
      </c>
      <c r="C28" s="105">
        <v>5846.52</v>
      </c>
      <c r="D28" s="105">
        <v>5808.34</v>
      </c>
      <c r="E28" s="105">
        <v>5842.47</v>
      </c>
      <c r="F28" s="105">
        <v>5842.47</v>
      </c>
      <c r="G28" s="106">
        <v>3467230000</v>
      </c>
      <c r="H28" s="107">
        <f t="shared" si="0"/>
        <v>4.6790685197222537E-3</v>
      </c>
    </row>
    <row r="29" spans="1:8" ht="15">
      <c r="A29" s="109">
        <v>45580</v>
      </c>
      <c r="B29" s="105">
        <v>5866.74</v>
      </c>
      <c r="C29" s="105">
        <v>5870.36</v>
      </c>
      <c r="D29" s="105">
        <v>5804.48</v>
      </c>
      <c r="E29" s="105">
        <v>5815.26</v>
      </c>
      <c r="F29" s="105">
        <v>5815.26</v>
      </c>
      <c r="G29" s="106">
        <v>3882120000</v>
      </c>
      <c r="H29" s="107">
        <f t="shared" si="0"/>
        <v>-7.6094097971791327E-3</v>
      </c>
    </row>
    <row r="30" spans="1:8" ht="15">
      <c r="A30" s="109">
        <v>45579</v>
      </c>
      <c r="B30" s="105">
        <v>5829.81</v>
      </c>
      <c r="C30" s="105">
        <v>5871.41</v>
      </c>
      <c r="D30" s="105">
        <v>5829.57</v>
      </c>
      <c r="E30" s="105">
        <v>5859.85</v>
      </c>
      <c r="F30" s="105">
        <v>5859.85</v>
      </c>
      <c r="G30" s="106">
        <v>3005250000</v>
      </c>
      <c r="H30" s="107">
        <f t="shared" si="0"/>
        <v>7.7076128584032452E-3</v>
      </c>
    </row>
    <row r="31" spans="1:8" ht="15">
      <c r="A31" s="109">
        <v>45576</v>
      </c>
      <c r="B31" s="105">
        <v>5775.09</v>
      </c>
      <c r="C31" s="105">
        <v>5822.13</v>
      </c>
      <c r="D31" s="105">
        <v>5775.09</v>
      </c>
      <c r="E31" s="105">
        <v>5815.03</v>
      </c>
      <c r="F31" s="105">
        <v>5815.03</v>
      </c>
      <c r="G31" s="106">
        <v>3208720000</v>
      </c>
      <c r="H31" s="107">
        <f t="shared" si="0"/>
        <v>6.0518507625365809E-3</v>
      </c>
    </row>
    <row r="32" spans="1:8" ht="15">
      <c r="A32" s="109">
        <v>45575</v>
      </c>
      <c r="B32" s="105">
        <v>5778.36</v>
      </c>
      <c r="C32" s="105">
        <v>5795.03</v>
      </c>
      <c r="D32" s="105">
        <v>5764.76</v>
      </c>
      <c r="E32" s="105">
        <v>5780.05</v>
      </c>
      <c r="F32" s="105">
        <v>5780.05</v>
      </c>
      <c r="G32" s="106">
        <v>3208790000</v>
      </c>
      <c r="H32" s="107">
        <f t="shared" si="0"/>
        <v>-2.0700823889337402E-3</v>
      </c>
    </row>
    <row r="33" spans="1:8" ht="15">
      <c r="A33" s="109">
        <v>45574</v>
      </c>
      <c r="B33" s="105">
        <v>5751.8</v>
      </c>
      <c r="C33" s="105">
        <v>5796.8</v>
      </c>
      <c r="D33" s="105">
        <v>5745.02</v>
      </c>
      <c r="E33" s="105">
        <v>5792.04</v>
      </c>
      <c r="F33" s="105">
        <v>5792.04</v>
      </c>
      <c r="G33" s="106">
        <v>3650340000</v>
      </c>
      <c r="H33" s="107">
        <f t="shared" si="0"/>
        <v>7.1133846739683945E-3</v>
      </c>
    </row>
    <row r="34" spans="1:8" ht="15">
      <c r="A34" s="109">
        <v>45573</v>
      </c>
      <c r="B34" s="105">
        <v>5719.14</v>
      </c>
      <c r="C34" s="105">
        <v>5757.6</v>
      </c>
      <c r="D34" s="105">
        <v>5714.56</v>
      </c>
      <c r="E34" s="105">
        <v>5751.13</v>
      </c>
      <c r="F34" s="105">
        <v>5751.13</v>
      </c>
      <c r="G34" s="106">
        <v>3393400000</v>
      </c>
      <c r="H34" s="107">
        <f t="shared" si="0"/>
        <v>9.6893576828408507E-3</v>
      </c>
    </row>
    <row r="35" spans="1:8" ht="15">
      <c r="A35" s="109">
        <v>45572</v>
      </c>
      <c r="B35" s="105">
        <v>5737.8</v>
      </c>
      <c r="C35" s="105">
        <v>5739.34</v>
      </c>
      <c r="D35" s="105">
        <v>5686.85</v>
      </c>
      <c r="E35" s="105">
        <v>5695.94</v>
      </c>
      <c r="F35" s="105">
        <v>5695.94</v>
      </c>
      <c r="G35" s="106">
        <v>3637790000</v>
      </c>
      <c r="H35" s="107">
        <f t="shared" si="0"/>
        <v>-9.586042249529237E-3</v>
      </c>
    </row>
    <row r="36" spans="1:8" ht="15">
      <c r="A36" s="109">
        <v>45569</v>
      </c>
      <c r="B36" s="105">
        <v>5737.48</v>
      </c>
      <c r="C36" s="105">
        <v>5753.21</v>
      </c>
      <c r="D36" s="105">
        <v>5702.83</v>
      </c>
      <c r="E36" s="105">
        <v>5751.07</v>
      </c>
      <c r="F36" s="105">
        <v>5751.07</v>
      </c>
      <c r="G36" s="106">
        <v>3479400000</v>
      </c>
      <c r="H36" s="107">
        <f t="shared" si="0"/>
        <v>8.9702698624897995E-3</v>
      </c>
    </row>
    <row r="37" spans="1:8" ht="15">
      <c r="A37" s="109">
        <v>45568</v>
      </c>
      <c r="B37" s="105">
        <v>5698.19</v>
      </c>
      <c r="C37" s="105">
        <v>5718.78</v>
      </c>
      <c r="D37" s="105">
        <v>5677.37</v>
      </c>
      <c r="E37" s="105">
        <v>5699.94</v>
      </c>
      <c r="F37" s="105">
        <v>5699.94</v>
      </c>
      <c r="G37" s="106">
        <v>3597450000</v>
      </c>
      <c r="H37" s="107">
        <f t="shared" si="0"/>
        <v>-1.6813963997100228E-3</v>
      </c>
    </row>
    <row r="38" spans="1:8" ht="15">
      <c r="A38" s="109">
        <v>45567</v>
      </c>
      <c r="B38" s="105">
        <v>5698.14</v>
      </c>
      <c r="C38" s="105">
        <v>5719.63</v>
      </c>
      <c r="D38" s="105">
        <v>5674</v>
      </c>
      <c r="E38" s="105">
        <v>5709.54</v>
      </c>
      <c r="F38" s="105">
        <v>5709.54</v>
      </c>
      <c r="G38" s="106">
        <v>3829050000</v>
      </c>
      <c r="H38" s="107">
        <f t="shared" si="0"/>
        <v>1.3838405955769015E-4</v>
      </c>
    </row>
    <row r="39" spans="1:8" ht="15">
      <c r="A39" s="109">
        <v>45566</v>
      </c>
      <c r="B39" s="105">
        <v>5757.73</v>
      </c>
      <c r="C39" s="105">
        <v>5757.73</v>
      </c>
      <c r="D39" s="105">
        <v>5681.28</v>
      </c>
      <c r="E39" s="105">
        <v>5708.75</v>
      </c>
      <c r="F39" s="105">
        <v>5708.75</v>
      </c>
      <c r="G39" s="106">
        <v>4025180000</v>
      </c>
      <c r="H39" s="107">
        <f t="shared" si="0"/>
        <v>-9.3241104524440111E-3</v>
      </c>
    </row>
    <row r="40" spans="1:8" ht="15">
      <c r="A40" s="109">
        <v>45565</v>
      </c>
      <c r="B40" s="105">
        <v>5726.52</v>
      </c>
      <c r="C40" s="105">
        <v>5765.14</v>
      </c>
      <c r="D40" s="105">
        <v>5703.53</v>
      </c>
      <c r="E40" s="105">
        <v>5762.48</v>
      </c>
      <c r="F40" s="105">
        <v>5762.48</v>
      </c>
      <c r="G40" s="106">
        <v>4425730000</v>
      </c>
      <c r="H40" s="107">
        <f t="shared" si="0"/>
        <v>4.2365423122701995E-3</v>
      </c>
    </row>
    <row r="41" spans="1:8" ht="15">
      <c r="A41" s="109">
        <v>45562</v>
      </c>
      <c r="B41" s="105">
        <v>5755.36</v>
      </c>
      <c r="C41" s="105">
        <v>5763.78</v>
      </c>
      <c r="D41" s="105">
        <v>5727.34</v>
      </c>
      <c r="E41" s="105">
        <v>5738.17</v>
      </c>
      <c r="F41" s="105">
        <v>5738.17</v>
      </c>
      <c r="G41" s="106">
        <v>3898530000</v>
      </c>
      <c r="H41" s="107">
        <f t="shared" si="0"/>
        <v>-1.2531829977877522E-3</v>
      </c>
    </row>
    <row r="42" spans="1:8" ht="15">
      <c r="A42" s="109">
        <v>45561</v>
      </c>
      <c r="B42" s="105">
        <v>5762.22</v>
      </c>
      <c r="C42" s="105">
        <v>5767.37</v>
      </c>
      <c r="D42" s="105">
        <v>5721.01</v>
      </c>
      <c r="E42" s="105">
        <v>5745.37</v>
      </c>
      <c r="F42" s="105">
        <v>5745.37</v>
      </c>
      <c r="G42" s="106">
        <v>4391180000</v>
      </c>
      <c r="H42" s="107">
        <f t="shared" si="0"/>
        <v>4.03861411400385E-3</v>
      </c>
    </row>
    <row r="43" spans="1:8" ht="15">
      <c r="A43" s="109">
        <v>45560</v>
      </c>
      <c r="B43" s="105">
        <v>5733.65</v>
      </c>
      <c r="C43" s="105">
        <v>5741.03</v>
      </c>
      <c r="D43" s="105">
        <v>5712.06</v>
      </c>
      <c r="E43" s="105">
        <v>5722.26</v>
      </c>
      <c r="F43" s="105">
        <v>5722.26</v>
      </c>
      <c r="G43" s="106">
        <v>3624910000</v>
      </c>
      <c r="H43" s="107">
        <f t="shared" si="0"/>
        <v>-1.8611774432968956E-3</v>
      </c>
    </row>
    <row r="44" spans="1:8" ht="15">
      <c r="A44" s="109">
        <v>45559</v>
      </c>
      <c r="B44" s="105">
        <v>5727.66</v>
      </c>
      <c r="C44" s="105">
        <v>5735.32</v>
      </c>
      <c r="D44" s="105">
        <v>5698.99</v>
      </c>
      <c r="E44" s="105">
        <v>5732.93</v>
      </c>
      <c r="F44" s="105">
        <v>5732.93</v>
      </c>
      <c r="G44" s="106">
        <v>3872710000</v>
      </c>
      <c r="H44" s="107">
        <f t="shared" si="0"/>
        <v>2.5111172898120652E-3</v>
      </c>
    </row>
    <row r="45" spans="1:8" ht="15">
      <c r="A45" s="109">
        <v>45558</v>
      </c>
      <c r="B45" s="105">
        <v>5711.9</v>
      </c>
      <c r="C45" s="105">
        <v>5725.36</v>
      </c>
      <c r="D45" s="105">
        <v>5704.22</v>
      </c>
      <c r="E45" s="105">
        <v>5718.57</v>
      </c>
      <c r="F45" s="105">
        <v>5718.57</v>
      </c>
      <c r="G45" s="106">
        <v>3529550000</v>
      </c>
      <c r="H45" s="107">
        <f t="shared" si="0"/>
        <v>2.8092695373121718E-3</v>
      </c>
    </row>
    <row r="46" spans="1:8" ht="15">
      <c r="A46" s="109">
        <v>45555</v>
      </c>
      <c r="B46" s="105">
        <v>5709.64</v>
      </c>
      <c r="C46" s="105">
        <v>5715.14</v>
      </c>
      <c r="D46" s="105">
        <v>5674.49</v>
      </c>
      <c r="E46" s="105">
        <v>5702.55</v>
      </c>
      <c r="F46" s="105">
        <v>5702.55</v>
      </c>
      <c r="G46" s="106">
        <v>7867260000</v>
      </c>
      <c r="H46" s="107">
        <f t="shared" si="0"/>
        <v>-1.9409693295342628E-3</v>
      </c>
    </row>
    <row r="47" spans="1:8" ht="15">
      <c r="A47" s="109">
        <v>45554</v>
      </c>
      <c r="B47" s="105">
        <v>5702.63</v>
      </c>
      <c r="C47" s="105">
        <v>5733.57</v>
      </c>
      <c r="D47" s="105">
        <v>5686.42</v>
      </c>
      <c r="E47" s="105">
        <v>5713.64</v>
      </c>
      <c r="F47" s="105">
        <v>5713.64</v>
      </c>
      <c r="G47" s="106">
        <v>4024530000</v>
      </c>
      <c r="H47" s="107">
        <f t="shared" si="0"/>
        <v>1.6976786407179464E-2</v>
      </c>
    </row>
    <row r="48" spans="1:8" ht="15">
      <c r="A48" s="109">
        <v>45553</v>
      </c>
      <c r="B48" s="105">
        <v>5641.68</v>
      </c>
      <c r="C48" s="105">
        <v>5689.75</v>
      </c>
      <c r="D48" s="105">
        <v>5615.08</v>
      </c>
      <c r="E48" s="105">
        <v>5618.26</v>
      </c>
      <c r="F48" s="105">
        <v>5618.26</v>
      </c>
      <c r="G48" s="106">
        <v>3691390000</v>
      </c>
      <c r="H48" s="107">
        <f t="shared" si="0"/>
        <v>-2.8964004415590354E-3</v>
      </c>
    </row>
    <row r="49" spans="1:8" ht="15">
      <c r="A49" s="109">
        <v>45552</v>
      </c>
      <c r="B49" s="105">
        <v>5655.51</v>
      </c>
      <c r="C49" s="105">
        <v>5670.81</v>
      </c>
      <c r="D49" s="105">
        <v>5614.05</v>
      </c>
      <c r="E49" s="105">
        <v>5634.58</v>
      </c>
      <c r="F49" s="105">
        <v>5634.58</v>
      </c>
      <c r="G49" s="106">
        <v>3443600000</v>
      </c>
      <c r="H49" s="107">
        <f t="shared" si="0"/>
        <v>2.6450846693374004E-4</v>
      </c>
    </row>
    <row r="50" spans="1:8" ht="15">
      <c r="A50" s="109">
        <v>45551</v>
      </c>
      <c r="B50" s="105">
        <v>5615.21</v>
      </c>
      <c r="C50" s="105">
        <v>5636.05</v>
      </c>
      <c r="D50" s="105">
        <v>5604.53</v>
      </c>
      <c r="E50" s="105">
        <v>5633.09</v>
      </c>
      <c r="F50" s="105">
        <v>5633.09</v>
      </c>
      <c r="G50" s="106">
        <v>3437070000</v>
      </c>
      <c r="H50" s="107">
        <f t="shared" si="0"/>
        <v>1.2566610143582334E-3</v>
      </c>
    </row>
    <row r="51" spans="1:8" ht="15">
      <c r="A51" s="109">
        <v>45548</v>
      </c>
      <c r="B51" s="105">
        <v>5603.34</v>
      </c>
      <c r="C51" s="105">
        <v>5636.27</v>
      </c>
      <c r="D51" s="105">
        <v>5601.65</v>
      </c>
      <c r="E51" s="105">
        <v>5626.02</v>
      </c>
      <c r="F51" s="105">
        <v>5626.02</v>
      </c>
      <c r="G51" s="106">
        <v>3500790000</v>
      </c>
      <c r="H51" s="107">
        <f t="shared" si="0"/>
        <v>5.4076658041088644E-3</v>
      </c>
    </row>
    <row r="52" spans="1:8" ht="15">
      <c r="A52" s="109">
        <v>45547</v>
      </c>
      <c r="B52" s="105">
        <v>5557.48</v>
      </c>
      <c r="C52" s="105">
        <v>5600.71</v>
      </c>
      <c r="D52" s="105">
        <v>5535.5</v>
      </c>
      <c r="E52" s="105">
        <v>5595.76</v>
      </c>
      <c r="F52" s="105">
        <v>5595.76</v>
      </c>
      <c r="G52" s="106">
        <v>3655070000</v>
      </c>
      <c r="H52" s="107">
        <f t="shared" si="0"/>
        <v>7.4953232999587886E-3</v>
      </c>
    </row>
    <row r="53" spans="1:8" ht="15">
      <c r="A53" s="109">
        <v>45546</v>
      </c>
      <c r="B53" s="105">
        <v>5496.42</v>
      </c>
      <c r="C53" s="105">
        <v>5560.41</v>
      </c>
      <c r="D53" s="105">
        <v>5406.96</v>
      </c>
      <c r="E53" s="105">
        <v>5554.13</v>
      </c>
      <c r="F53" s="105">
        <v>5554.13</v>
      </c>
      <c r="G53" s="106">
        <v>3839450000</v>
      </c>
      <c r="H53" s="107">
        <f t="shared" si="0"/>
        <v>1.06650508050193E-2</v>
      </c>
    </row>
    <row r="54" spans="1:8" ht="15">
      <c r="A54" s="109">
        <v>45545</v>
      </c>
      <c r="B54" s="105">
        <v>5490.51</v>
      </c>
      <c r="C54" s="105">
        <v>5497.91</v>
      </c>
      <c r="D54" s="105">
        <v>5441.72</v>
      </c>
      <c r="E54" s="105">
        <v>5495.52</v>
      </c>
      <c r="F54" s="105">
        <v>5495.52</v>
      </c>
      <c r="G54" s="106">
        <v>3848180000</v>
      </c>
      <c r="H54" s="107">
        <f t="shared" si="0"/>
        <v>4.4726332239698515E-3</v>
      </c>
    </row>
    <row r="55" spans="1:8" ht="15">
      <c r="A55" s="109">
        <v>45544</v>
      </c>
      <c r="B55" s="105">
        <v>5442.07</v>
      </c>
      <c r="C55" s="105">
        <v>5484.2</v>
      </c>
      <c r="D55" s="105">
        <v>5434.49</v>
      </c>
      <c r="E55" s="105">
        <v>5471.05</v>
      </c>
      <c r="F55" s="105">
        <v>5471.05</v>
      </c>
      <c r="G55" s="106">
        <v>3825940000</v>
      </c>
      <c r="H55" s="107">
        <f t="shared" si="0"/>
        <v>1.1580091782812746E-2</v>
      </c>
    </row>
    <row r="56" spans="1:8" ht="15">
      <c r="A56" s="109">
        <v>45541</v>
      </c>
      <c r="B56" s="105">
        <v>5507.33</v>
      </c>
      <c r="C56" s="105">
        <v>5522.47</v>
      </c>
      <c r="D56" s="105">
        <v>5402.62</v>
      </c>
      <c r="E56" s="105">
        <v>5408.42</v>
      </c>
      <c r="F56" s="105">
        <v>5408.42</v>
      </c>
      <c r="G56" s="106">
        <v>3822800000</v>
      </c>
      <c r="H56" s="107">
        <f t="shared" si="0"/>
        <v>-1.7260207762096552E-2</v>
      </c>
    </row>
    <row r="57" spans="1:8" ht="15">
      <c r="A57" s="109">
        <v>45540</v>
      </c>
      <c r="B57" s="105">
        <v>5520.08</v>
      </c>
      <c r="C57" s="105">
        <v>5546.3</v>
      </c>
      <c r="D57" s="105">
        <v>5480.54</v>
      </c>
      <c r="E57" s="105">
        <v>5503.41</v>
      </c>
      <c r="F57" s="105">
        <v>5503.41</v>
      </c>
      <c r="G57" s="106">
        <v>3521650000</v>
      </c>
      <c r="H57" s="107">
        <f t="shared" si="0"/>
        <v>-3.018077669304892E-3</v>
      </c>
    </row>
    <row r="58" spans="1:8" ht="15">
      <c r="A58" s="109">
        <v>45539</v>
      </c>
      <c r="B58" s="105">
        <v>5506.68</v>
      </c>
      <c r="C58" s="105">
        <v>5552.99</v>
      </c>
      <c r="D58" s="105">
        <v>5503.66</v>
      </c>
      <c r="E58" s="105">
        <v>5520.07</v>
      </c>
      <c r="F58" s="105">
        <v>5520.07</v>
      </c>
      <c r="G58" s="106">
        <v>3478140000</v>
      </c>
      <c r="H58" s="107">
        <f t="shared" si="0"/>
        <v>-1.6024800458679313E-3</v>
      </c>
    </row>
    <row r="59" spans="1:8" ht="15">
      <c r="A59" s="109">
        <v>45538</v>
      </c>
      <c r="B59" s="105">
        <v>5623.89</v>
      </c>
      <c r="C59" s="105">
        <v>5623.89</v>
      </c>
      <c r="D59" s="105">
        <v>5504.33</v>
      </c>
      <c r="E59" s="105">
        <v>5528.93</v>
      </c>
      <c r="F59" s="105">
        <v>5528.93</v>
      </c>
      <c r="G59" s="106">
        <v>3866350000</v>
      </c>
      <c r="H59" s="107">
        <f t="shared" si="0"/>
        <v>-2.1151122441753302E-2</v>
      </c>
    </row>
    <row r="60" spans="1:8" ht="15">
      <c r="A60" s="109">
        <v>45534</v>
      </c>
      <c r="B60" s="105">
        <v>5612.74</v>
      </c>
      <c r="C60" s="105">
        <v>5651.37</v>
      </c>
      <c r="D60" s="105">
        <v>5581.79</v>
      </c>
      <c r="E60" s="105">
        <v>5648.4</v>
      </c>
      <c r="F60" s="105">
        <v>5648.4</v>
      </c>
      <c r="G60" s="106">
        <v>4185850000</v>
      </c>
      <c r="H60" s="107">
        <f t="shared" si="0"/>
        <v>1.0093062182132849E-2</v>
      </c>
    </row>
    <row r="61" spans="1:8" ht="15">
      <c r="A61" s="109">
        <v>45533</v>
      </c>
      <c r="B61" s="105">
        <v>5607.3</v>
      </c>
      <c r="C61" s="105">
        <v>5646.95</v>
      </c>
      <c r="D61" s="105">
        <v>5583.71</v>
      </c>
      <c r="E61" s="105">
        <v>5591.96</v>
      </c>
      <c r="F61" s="105">
        <v>5591.96</v>
      </c>
      <c r="G61" s="106">
        <v>3065640000</v>
      </c>
      <c r="H61" s="107">
        <f t="shared" si="0"/>
        <v>-3.9340650694408023E-5</v>
      </c>
    </row>
    <row r="62" spans="1:8" ht="15">
      <c r="A62" s="109">
        <v>45532</v>
      </c>
      <c r="B62" s="105">
        <v>5624.51</v>
      </c>
      <c r="C62" s="105">
        <v>5627.03</v>
      </c>
      <c r="D62" s="105">
        <v>5560.95</v>
      </c>
      <c r="E62" s="105">
        <v>5592.18</v>
      </c>
      <c r="F62" s="105">
        <v>5592.18</v>
      </c>
      <c r="G62" s="106">
        <v>3053450000</v>
      </c>
      <c r="H62" s="107">
        <f t="shared" si="0"/>
        <v>-5.9760389633474152E-3</v>
      </c>
    </row>
    <row r="63" spans="1:8" ht="15">
      <c r="A63" s="109">
        <v>45531</v>
      </c>
      <c r="B63" s="105">
        <v>5602.89</v>
      </c>
      <c r="C63" s="105">
        <v>5631.18</v>
      </c>
      <c r="D63" s="105">
        <v>5593.48</v>
      </c>
      <c r="E63" s="105">
        <v>5625.8</v>
      </c>
      <c r="F63" s="105">
        <v>5625.8</v>
      </c>
      <c r="G63" s="106">
        <v>2798990000</v>
      </c>
      <c r="H63" s="107">
        <f t="shared" si="0"/>
        <v>1.5952029967027789E-3</v>
      </c>
    </row>
    <row r="64" spans="1:8" ht="15">
      <c r="A64" s="109">
        <v>45530</v>
      </c>
      <c r="B64" s="105">
        <v>5639.66</v>
      </c>
      <c r="C64" s="105">
        <v>5651.62</v>
      </c>
      <c r="D64" s="105">
        <v>5602.34</v>
      </c>
      <c r="E64" s="105">
        <v>5616.84</v>
      </c>
      <c r="F64" s="105">
        <v>5616.84</v>
      </c>
      <c r="G64" s="106">
        <v>2938570000</v>
      </c>
      <c r="H64" s="107">
        <f t="shared" si="0"/>
        <v>-3.1537231503155549E-3</v>
      </c>
    </row>
    <row r="65" spans="1:8" ht="15">
      <c r="A65" s="109">
        <v>45527</v>
      </c>
      <c r="B65" s="105">
        <v>5602.49</v>
      </c>
      <c r="C65" s="105">
        <v>5641.82</v>
      </c>
      <c r="D65" s="105">
        <v>5585.16</v>
      </c>
      <c r="E65" s="105">
        <v>5634.61</v>
      </c>
      <c r="F65" s="105">
        <v>5634.61</v>
      </c>
      <c r="G65" s="106">
        <v>3291940000</v>
      </c>
      <c r="H65" s="107">
        <f t="shared" si="0"/>
        <v>1.1483420217425528E-2</v>
      </c>
    </row>
    <row r="66" spans="1:8" ht="15">
      <c r="A66" s="109">
        <v>45526</v>
      </c>
      <c r="B66" s="105">
        <v>5637.77</v>
      </c>
      <c r="C66" s="105">
        <v>5643.22</v>
      </c>
      <c r="D66" s="105">
        <v>5560.95</v>
      </c>
      <c r="E66" s="105">
        <v>5570.64</v>
      </c>
      <c r="F66" s="105">
        <v>5570.64</v>
      </c>
      <c r="G66" s="106">
        <v>2981530000</v>
      </c>
      <c r="H66" s="107">
        <f t="shared" si="0"/>
        <v>-8.9328126528905837E-3</v>
      </c>
    </row>
    <row r="67" spans="1:8" ht="15">
      <c r="A67" s="109">
        <v>45525</v>
      </c>
      <c r="B67" s="105">
        <v>5603.09</v>
      </c>
      <c r="C67" s="105">
        <v>5632.68</v>
      </c>
      <c r="D67" s="105">
        <v>5591.57</v>
      </c>
      <c r="E67" s="105">
        <v>5620.85</v>
      </c>
      <c r="F67" s="105">
        <v>5620.85</v>
      </c>
      <c r="G67" s="106">
        <v>3119670000</v>
      </c>
      <c r="H67" s="107">
        <f t="shared" ref="H67:H130" si="1">(F67-F68)/F68</f>
        <v>4.2396804070665758E-3</v>
      </c>
    </row>
    <row r="68" spans="1:8" ht="15">
      <c r="A68" s="109">
        <v>45524</v>
      </c>
      <c r="B68" s="105">
        <v>5602.88</v>
      </c>
      <c r="C68" s="105">
        <v>5620.51</v>
      </c>
      <c r="D68" s="105">
        <v>5585.5</v>
      </c>
      <c r="E68" s="105">
        <v>5597.12</v>
      </c>
      <c r="F68" s="105">
        <v>5597.12</v>
      </c>
      <c r="G68" s="106">
        <v>2994420000</v>
      </c>
      <c r="H68" s="107">
        <f t="shared" si="1"/>
        <v>-1.9845762938528258E-3</v>
      </c>
    </row>
    <row r="69" spans="1:8" ht="15">
      <c r="A69" s="109">
        <v>45523</v>
      </c>
      <c r="B69" s="105">
        <v>5557.23</v>
      </c>
      <c r="C69" s="105">
        <v>5608.3</v>
      </c>
      <c r="D69" s="105">
        <v>5550.74</v>
      </c>
      <c r="E69" s="105">
        <v>5608.25</v>
      </c>
      <c r="F69" s="105">
        <v>5608.25</v>
      </c>
      <c r="G69" s="106">
        <v>3222050000</v>
      </c>
      <c r="H69" s="107">
        <f t="shared" si="1"/>
        <v>9.722284736913174E-3</v>
      </c>
    </row>
    <row r="70" spans="1:8" ht="15">
      <c r="A70" s="109">
        <v>45520</v>
      </c>
      <c r="B70" s="105">
        <v>5530.5</v>
      </c>
      <c r="C70" s="105">
        <v>5561.98</v>
      </c>
      <c r="D70" s="105">
        <v>5525.17</v>
      </c>
      <c r="E70" s="105">
        <v>5554.25</v>
      </c>
      <c r="F70" s="105">
        <v>5554.25</v>
      </c>
      <c r="G70" s="106">
        <v>3357690000</v>
      </c>
      <c r="H70" s="107">
        <f t="shared" si="1"/>
        <v>1.9898181923141685E-3</v>
      </c>
    </row>
    <row r="71" spans="1:8" ht="15">
      <c r="A71" s="109">
        <v>45519</v>
      </c>
      <c r="B71" s="105">
        <v>5501.13</v>
      </c>
      <c r="C71" s="105">
        <v>5546.23</v>
      </c>
      <c r="D71" s="105">
        <v>5501.13</v>
      </c>
      <c r="E71" s="105">
        <v>5543.22</v>
      </c>
      <c r="F71" s="105">
        <v>5543.22</v>
      </c>
      <c r="G71" s="106">
        <v>3723310000</v>
      </c>
      <c r="H71" s="107">
        <f t="shared" si="1"/>
        <v>1.6133201104998749E-2</v>
      </c>
    </row>
    <row r="72" spans="1:8" ht="15">
      <c r="A72" s="109">
        <v>45518</v>
      </c>
      <c r="B72" s="105">
        <v>5442.36</v>
      </c>
      <c r="C72" s="105">
        <v>5463.22</v>
      </c>
      <c r="D72" s="105">
        <v>5415.91</v>
      </c>
      <c r="E72" s="105">
        <v>5455.21</v>
      </c>
      <c r="F72" s="105">
        <v>5455.21</v>
      </c>
      <c r="G72" s="106">
        <v>3380050000</v>
      </c>
      <c r="H72" s="107">
        <f t="shared" si="1"/>
        <v>3.8237680860733776E-3</v>
      </c>
    </row>
    <row r="73" spans="1:8" ht="15">
      <c r="A73" s="109">
        <v>45517</v>
      </c>
      <c r="B73" s="105">
        <v>5376.98</v>
      </c>
      <c r="C73" s="105">
        <v>5436.5</v>
      </c>
      <c r="D73" s="105">
        <v>5376.98</v>
      </c>
      <c r="E73" s="105">
        <v>5434.43</v>
      </c>
      <c r="F73" s="105">
        <v>5434.43</v>
      </c>
      <c r="G73" s="106">
        <v>3648980000</v>
      </c>
      <c r="H73" s="107">
        <f t="shared" si="1"/>
        <v>1.6847572875482508E-2</v>
      </c>
    </row>
    <row r="74" spans="1:8" ht="15">
      <c r="A74" s="109">
        <v>45516</v>
      </c>
      <c r="B74" s="105">
        <v>5351.88</v>
      </c>
      <c r="C74" s="105">
        <v>5371.2</v>
      </c>
      <c r="D74" s="105">
        <v>5324.37</v>
      </c>
      <c r="E74" s="105">
        <v>5344.39</v>
      </c>
      <c r="F74" s="105">
        <v>5344.39</v>
      </c>
      <c r="G74" s="106">
        <v>3360160000</v>
      </c>
      <c r="H74" s="107">
        <f t="shared" si="1"/>
        <v>4.3037633603872814E-5</v>
      </c>
    </row>
    <row r="75" spans="1:8" ht="15">
      <c r="A75" s="109">
        <v>45513</v>
      </c>
      <c r="B75" s="105">
        <v>5314.66</v>
      </c>
      <c r="C75" s="105">
        <v>5358.67</v>
      </c>
      <c r="D75" s="105">
        <v>5300.84</v>
      </c>
      <c r="E75" s="105">
        <v>5344.16</v>
      </c>
      <c r="F75" s="105">
        <v>5344.16</v>
      </c>
      <c r="G75" s="106">
        <v>3516400000</v>
      </c>
      <c r="H75" s="107">
        <f t="shared" si="1"/>
        <v>4.6716585421792403E-3</v>
      </c>
    </row>
    <row r="76" spans="1:8" ht="15">
      <c r="A76" s="109">
        <v>45512</v>
      </c>
      <c r="B76" s="105">
        <v>5252.57</v>
      </c>
      <c r="C76" s="105">
        <v>5328.03</v>
      </c>
      <c r="D76" s="105">
        <v>5233.8500000000004</v>
      </c>
      <c r="E76" s="105">
        <v>5319.31</v>
      </c>
      <c r="F76" s="105">
        <v>5319.31</v>
      </c>
      <c r="G76" s="106">
        <v>4016830000</v>
      </c>
      <c r="H76" s="107">
        <f t="shared" si="1"/>
        <v>2.3042600250024119E-2</v>
      </c>
    </row>
    <row r="77" spans="1:8" ht="15">
      <c r="A77" s="109">
        <v>45511</v>
      </c>
      <c r="B77" s="105">
        <v>5293.13</v>
      </c>
      <c r="C77" s="105">
        <v>5330.64</v>
      </c>
      <c r="D77" s="105">
        <v>5195.54</v>
      </c>
      <c r="E77" s="105">
        <v>5199.5</v>
      </c>
      <c r="F77" s="105">
        <v>5199.5</v>
      </c>
      <c r="G77" s="106">
        <v>4558260000</v>
      </c>
      <c r="H77" s="107">
        <f t="shared" si="1"/>
        <v>-7.7346885418594453E-3</v>
      </c>
    </row>
    <row r="78" spans="1:8" ht="15">
      <c r="A78" s="109">
        <v>45510</v>
      </c>
      <c r="B78" s="105">
        <v>5206.42</v>
      </c>
      <c r="C78" s="105">
        <v>5312.34</v>
      </c>
      <c r="D78" s="105">
        <v>5193.5600000000004</v>
      </c>
      <c r="E78" s="105">
        <v>5240.03</v>
      </c>
      <c r="F78" s="105">
        <v>5240.03</v>
      </c>
      <c r="G78" s="106">
        <v>4690190000</v>
      </c>
      <c r="H78" s="107">
        <f t="shared" si="1"/>
        <v>1.0354142524675409E-2</v>
      </c>
    </row>
    <row r="79" spans="1:8" ht="15">
      <c r="A79" s="109">
        <v>45509</v>
      </c>
      <c r="B79" s="105">
        <v>5151.1400000000003</v>
      </c>
      <c r="C79" s="105">
        <v>5250.89</v>
      </c>
      <c r="D79" s="105">
        <v>5119.26</v>
      </c>
      <c r="E79" s="105">
        <v>5186.33</v>
      </c>
      <c r="F79" s="105">
        <v>5186.33</v>
      </c>
      <c r="G79" s="106">
        <v>5333250000</v>
      </c>
      <c r="H79" s="107">
        <f t="shared" si="1"/>
        <v>-2.9968802370122182E-2</v>
      </c>
    </row>
    <row r="80" spans="1:8" ht="15">
      <c r="A80" s="109">
        <v>45506</v>
      </c>
      <c r="B80" s="105">
        <v>5376.63</v>
      </c>
      <c r="C80" s="105">
        <v>5383.89</v>
      </c>
      <c r="D80" s="105">
        <v>5302.03</v>
      </c>
      <c r="E80" s="105">
        <v>5346.56</v>
      </c>
      <c r="F80" s="105">
        <v>5346.56</v>
      </c>
      <c r="G80" s="106">
        <v>5156450000</v>
      </c>
      <c r="H80" s="107">
        <f t="shared" si="1"/>
        <v>-1.8381839946536218E-2</v>
      </c>
    </row>
    <row r="81" spans="1:8" ht="15">
      <c r="A81" s="109">
        <v>45505</v>
      </c>
      <c r="B81" s="105">
        <v>5537.84</v>
      </c>
      <c r="C81" s="105">
        <v>5566.16</v>
      </c>
      <c r="D81" s="105">
        <v>5410.42</v>
      </c>
      <c r="E81" s="105">
        <v>5446.68</v>
      </c>
      <c r="F81" s="105">
        <v>5446.68</v>
      </c>
      <c r="G81" s="106">
        <v>4703620000</v>
      </c>
      <c r="H81" s="107">
        <f t="shared" si="1"/>
        <v>-1.3693569708273706E-2</v>
      </c>
    </row>
    <row r="82" spans="1:8" ht="15">
      <c r="A82" s="109">
        <v>45504</v>
      </c>
      <c r="B82" s="105">
        <v>5505.59</v>
      </c>
      <c r="C82" s="105">
        <v>5551.51</v>
      </c>
      <c r="D82" s="105">
        <v>5493.75</v>
      </c>
      <c r="E82" s="105">
        <v>5522.3</v>
      </c>
      <c r="F82" s="105">
        <v>5522.3</v>
      </c>
      <c r="G82" s="106">
        <v>4546910000</v>
      </c>
      <c r="H82" s="107">
        <f t="shared" si="1"/>
        <v>1.5793423637527608E-2</v>
      </c>
    </row>
    <row r="83" spans="1:8" ht="15">
      <c r="A83" s="109">
        <v>45503</v>
      </c>
      <c r="B83" s="105">
        <v>5478.73</v>
      </c>
      <c r="C83" s="105">
        <v>5489.46</v>
      </c>
      <c r="D83" s="105">
        <v>5401.7</v>
      </c>
      <c r="E83" s="105">
        <v>5436.44</v>
      </c>
      <c r="F83" s="105">
        <v>5436.44</v>
      </c>
      <c r="G83" s="106">
        <v>3777740000</v>
      </c>
      <c r="H83" s="107">
        <f t="shared" si="1"/>
        <v>-4.960154039322557E-3</v>
      </c>
    </row>
    <row r="84" spans="1:8" ht="15">
      <c r="A84" s="109">
        <v>45502</v>
      </c>
      <c r="B84" s="105">
        <v>5476.55</v>
      </c>
      <c r="C84" s="105">
        <v>5487.74</v>
      </c>
      <c r="D84" s="105">
        <v>5444.44</v>
      </c>
      <c r="E84" s="105">
        <v>5463.54</v>
      </c>
      <c r="F84" s="105">
        <v>5463.54</v>
      </c>
      <c r="G84" s="106">
        <v>3379970000</v>
      </c>
      <c r="H84" s="107">
        <f t="shared" si="1"/>
        <v>8.1332087706757511E-4</v>
      </c>
    </row>
    <row r="85" spans="1:8" ht="15">
      <c r="A85" s="109">
        <v>45499</v>
      </c>
      <c r="B85" s="105">
        <v>5433.67</v>
      </c>
      <c r="C85" s="105">
        <v>5488.32</v>
      </c>
      <c r="D85" s="105">
        <v>5430.7</v>
      </c>
      <c r="E85" s="105">
        <v>5459.1</v>
      </c>
      <c r="F85" s="105">
        <v>5459.1</v>
      </c>
      <c r="G85" s="106">
        <v>3638770000</v>
      </c>
      <c r="H85" s="107">
        <f t="shared" si="1"/>
        <v>1.1090490848678162E-2</v>
      </c>
    </row>
    <row r="86" spans="1:8" ht="15">
      <c r="A86" s="109">
        <v>45498</v>
      </c>
      <c r="B86" s="105">
        <v>5428.7</v>
      </c>
      <c r="C86" s="105">
        <v>5491.59</v>
      </c>
      <c r="D86" s="105">
        <v>5390.95</v>
      </c>
      <c r="E86" s="105">
        <v>5399.22</v>
      </c>
      <c r="F86" s="105">
        <v>5399.22</v>
      </c>
      <c r="G86" s="106">
        <v>4592120000</v>
      </c>
      <c r="H86" s="107">
        <f t="shared" si="1"/>
        <v>-5.1426813066943033E-3</v>
      </c>
    </row>
    <row r="87" spans="1:8" ht="15">
      <c r="A87" s="109">
        <v>45497</v>
      </c>
      <c r="B87" s="105">
        <v>5505.84</v>
      </c>
      <c r="C87" s="105">
        <v>5508.04</v>
      </c>
      <c r="D87" s="105">
        <v>5419.98</v>
      </c>
      <c r="E87" s="105">
        <v>5427.13</v>
      </c>
      <c r="F87" s="105">
        <v>5427.13</v>
      </c>
      <c r="G87" s="106">
        <v>3945550000</v>
      </c>
      <c r="H87" s="107">
        <f t="shared" si="1"/>
        <v>-2.314903145215573E-2</v>
      </c>
    </row>
    <row r="88" spans="1:8" ht="15">
      <c r="A88" s="109">
        <v>45496</v>
      </c>
      <c r="B88" s="105">
        <v>5565.3</v>
      </c>
      <c r="C88" s="105">
        <v>5585.34</v>
      </c>
      <c r="D88" s="105">
        <v>5550.9</v>
      </c>
      <c r="E88" s="105">
        <v>5555.74</v>
      </c>
      <c r="F88" s="105">
        <v>5555.74</v>
      </c>
      <c r="G88" s="106">
        <v>3500210000</v>
      </c>
      <c r="H88" s="107">
        <f t="shared" si="1"/>
        <v>-1.5581166736455569E-3</v>
      </c>
    </row>
    <row r="89" spans="1:8" ht="15">
      <c r="A89" s="109">
        <v>45495</v>
      </c>
      <c r="B89" s="105">
        <v>5544.54</v>
      </c>
      <c r="C89" s="105">
        <v>5570.36</v>
      </c>
      <c r="D89" s="105">
        <v>5529.04</v>
      </c>
      <c r="E89" s="105">
        <v>5564.41</v>
      </c>
      <c r="F89" s="105">
        <v>5564.41</v>
      </c>
      <c r="G89" s="106">
        <v>3375180000</v>
      </c>
      <c r="H89" s="107">
        <f t="shared" si="1"/>
        <v>1.0792007266121681E-2</v>
      </c>
    </row>
    <row r="90" spans="1:8" ht="15">
      <c r="A90" s="109">
        <v>45492</v>
      </c>
      <c r="B90" s="105">
        <v>5543.37</v>
      </c>
      <c r="C90" s="105">
        <v>5557.5</v>
      </c>
      <c r="D90" s="105">
        <v>5497.04</v>
      </c>
      <c r="E90" s="105">
        <v>5505</v>
      </c>
      <c r="F90" s="105">
        <v>5505</v>
      </c>
      <c r="G90" s="106">
        <v>3760570000</v>
      </c>
      <c r="H90" s="107">
        <f t="shared" si="1"/>
        <v>-7.1402935113326947E-3</v>
      </c>
    </row>
    <row r="91" spans="1:8" ht="15">
      <c r="A91" s="109">
        <v>45491</v>
      </c>
      <c r="B91" s="105">
        <v>5608.56</v>
      </c>
      <c r="C91" s="105">
        <v>5614.05</v>
      </c>
      <c r="D91" s="105">
        <v>5522.81</v>
      </c>
      <c r="E91" s="105">
        <v>5544.59</v>
      </c>
      <c r="F91" s="105">
        <v>5544.59</v>
      </c>
      <c r="G91" s="106">
        <v>4007510000</v>
      </c>
      <c r="H91" s="107">
        <f t="shared" si="1"/>
        <v>-7.8163725088444703E-3</v>
      </c>
    </row>
    <row r="92" spans="1:8" ht="15">
      <c r="A92" s="109">
        <v>45490</v>
      </c>
      <c r="B92" s="105">
        <v>5610.07</v>
      </c>
      <c r="C92" s="105">
        <v>5622.49</v>
      </c>
      <c r="D92" s="105">
        <v>5584.81</v>
      </c>
      <c r="E92" s="105">
        <v>5588.27</v>
      </c>
      <c r="F92" s="105">
        <v>5588.27</v>
      </c>
      <c r="G92" s="106">
        <v>4246450000</v>
      </c>
      <c r="H92" s="107">
        <f t="shared" si="1"/>
        <v>-1.3927512704686508E-2</v>
      </c>
    </row>
    <row r="93" spans="1:8" ht="15">
      <c r="A93" s="109">
        <v>45489</v>
      </c>
      <c r="B93" s="105">
        <v>5644.09</v>
      </c>
      <c r="C93" s="105">
        <v>5669.67</v>
      </c>
      <c r="D93" s="105">
        <v>5639.02</v>
      </c>
      <c r="E93" s="105">
        <v>5667.2</v>
      </c>
      <c r="F93" s="105">
        <v>5667.2</v>
      </c>
      <c r="G93" s="106">
        <v>4041760000</v>
      </c>
      <c r="H93" s="107">
        <f t="shared" si="1"/>
        <v>6.389379210899159E-3</v>
      </c>
    </row>
    <row r="94" spans="1:8" ht="15">
      <c r="A94" s="109">
        <v>45488</v>
      </c>
      <c r="B94" s="105">
        <v>5638.16</v>
      </c>
      <c r="C94" s="105">
        <v>5666.94</v>
      </c>
      <c r="D94" s="105">
        <v>5614.75</v>
      </c>
      <c r="E94" s="105">
        <v>5631.22</v>
      </c>
      <c r="F94" s="105">
        <v>5631.22</v>
      </c>
      <c r="G94" s="106">
        <v>3620470000</v>
      </c>
      <c r="H94" s="107">
        <f t="shared" si="1"/>
        <v>2.8261818052302866E-3</v>
      </c>
    </row>
    <row r="95" spans="1:8" ht="15">
      <c r="A95" s="109">
        <v>45485</v>
      </c>
      <c r="B95" s="105">
        <v>5590.76</v>
      </c>
      <c r="C95" s="105">
        <v>5655.56</v>
      </c>
      <c r="D95" s="105">
        <v>5590.44</v>
      </c>
      <c r="E95" s="105">
        <v>5615.35</v>
      </c>
      <c r="F95" s="105">
        <v>5615.35</v>
      </c>
      <c r="G95" s="106">
        <v>3700280000</v>
      </c>
      <c r="H95" s="107">
        <f t="shared" si="1"/>
        <v>5.5170166208855882E-3</v>
      </c>
    </row>
    <row r="96" spans="1:8" ht="15">
      <c r="A96" s="109">
        <v>45484</v>
      </c>
      <c r="B96" s="105">
        <v>5635.21</v>
      </c>
      <c r="C96" s="105">
        <v>5642.45</v>
      </c>
      <c r="D96" s="105">
        <v>5576.53</v>
      </c>
      <c r="E96" s="105">
        <v>5584.54</v>
      </c>
      <c r="F96" s="105">
        <v>5584.54</v>
      </c>
      <c r="G96" s="106">
        <v>4020950000</v>
      </c>
      <c r="H96" s="107">
        <f t="shared" si="1"/>
        <v>-8.7630082837673821E-3</v>
      </c>
    </row>
    <row r="97" spans="1:8" ht="15">
      <c r="A97" s="109">
        <v>45483</v>
      </c>
      <c r="B97" s="105">
        <v>5591.26</v>
      </c>
      <c r="C97" s="105">
        <v>5635.39</v>
      </c>
      <c r="D97" s="105">
        <v>5586.44</v>
      </c>
      <c r="E97" s="105">
        <v>5633.91</v>
      </c>
      <c r="F97" s="105">
        <v>5633.91</v>
      </c>
      <c r="G97" s="106">
        <v>3336100000</v>
      </c>
      <c r="H97" s="107">
        <f t="shared" si="1"/>
        <v>1.0208033738690168E-2</v>
      </c>
    </row>
    <row r="98" spans="1:8" ht="15">
      <c r="A98" s="109">
        <v>45482</v>
      </c>
      <c r="B98" s="105">
        <v>5584.24</v>
      </c>
      <c r="C98" s="105">
        <v>5590.75</v>
      </c>
      <c r="D98" s="105">
        <v>5574.57</v>
      </c>
      <c r="E98" s="105">
        <v>5576.98</v>
      </c>
      <c r="F98" s="105">
        <v>5576.98</v>
      </c>
      <c r="G98" s="106">
        <v>3232920000</v>
      </c>
      <c r="H98" s="107">
        <f t="shared" si="1"/>
        <v>7.4109297756070941E-4</v>
      </c>
    </row>
    <row r="99" spans="1:8" ht="15">
      <c r="A99" s="109">
        <v>45481</v>
      </c>
      <c r="B99" s="105">
        <v>5572.75</v>
      </c>
      <c r="C99" s="105">
        <v>5583.11</v>
      </c>
      <c r="D99" s="105">
        <v>5562.51</v>
      </c>
      <c r="E99" s="105">
        <v>5572.85</v>
      </c>
      <c r="F99" s="105">
        <v>5572.85</v>
      </c>
      <c r="G99" s="106">
        <v>3185670000</v>
      </c>
      <c r="H99" s="107">
        <f t="shared" si="1"/>
        <v>1.0166708878268506E-3</v>
      </c>
    </row>
    <row r="100" spans="1:8" ht="15">
      <c r="A100" s="109">
        <v>45478</v>
      </c>
      <c r="B100" s="105">
        <v>5537.91</v>
      </c>
      <c r="C100" s="105">
        <v>5570.33</v>
      </c>
      <c r="D100" s="105">
        <v>5531.63</v>
      </c>
      <c r="E100" s="105">
        <v>5567.19</v>
      </c>
      <c r="F100" s="105">
        <v>5567.19</v>
      </c>
      <c r="G100" s="106">
        <v>3253080000</v>
      </c>
      <c r="H100" s="107">
        <f t="shared" si="1"/>
        <v>5.4487793072806601E-3</v>
      </c>
    </row>
    <row r="101" spans="1:8" ht="15">
      <c r="A101" s="109">
        <v>45476</v>
      </c>
      <c r="B101" s="105">
        <v>5507.44</v>
      </c>
      <c r="C101" s="105">
        <v>5539.27</v>
      </c>
      <c r="D101" s="105">
        <v>5507.42</v>
      </c>
      <c r="E101" s="105">
        <v>5537.02</v>
      </c>
      <c r="F101" s="105">
        <v>5537.02</v>
      </c>
      <c r="G101" s="106">
        <v>2179470000</v>
      </c>
      <c r="H101" s="107">
        <f t="shared" si="1"/>
        <v>5.0843981041966196E-3</v>
      </c>
    </row>
    <row r="102" spans="1:8" ht="15">
      <c r="A102" s="109">
        <v>45475</v>
      </c>
      <c r="B102" s="105">
        <v>5461.84</v>
      </c>
      <c r="C102" s="105">
        <v>5509.69</v>
      </c>
      <c r="D102" s="105">
        <v>5458.43</v>
      </c>
      <c r="E102" s="105">
        <v>5509.01</v>
      </c>
      <c r="F102" s="105">
        <v>5509.01</v>
      </c>
      <c r="G102" s="106">
        <v>3329950000</v>
      </c>
      <c r="H102" s="107">
        <f t="shared" si="1"/>
        <v>6.1953319488812185E-3</v>
      </c>
    </row>
    <row r="103" spans="1:8" ht="15">
      <c r="A103" s="109">
        <v>45474</v>
      </c>
      <c r="B103" s="105">
        <v>5471.08</v>
      </c>
      <c r="C103" s="105">
        <v>5479.55</v>
      </c>
      <c r="D103" s="105">
        <v>5446.53</v>
      </c>
      <c r="E103" s="105">
        <v>5475.09</v>
      </c>
      <c r="F103" s="105">
        <v>5475.09</v>
      </c>
      <c r="G103" s="106">
        <v>3488760000</v>
      </c>
      <c r="H103" s="107">
        <f t="shared" si="1"/>
        <v>2.6755889592124838E-3</v>
      </c>
    </row>
    <row r="104" spans="1:8" ht="15">
      <c r="A104" s="109">
        <v>45471</v>
      </c>
      <c r="B104" s="105">
        <v>5488.48</v>
      </c>
      <c r="C104" s="105">
        <v>5523.64</v>
      </c>
      <c r="D104" s="105">
        <v>5451.12</v>
      </c>
      <c r="E104" s="105">
        <v>5460.48</v>
      </c>
      <c r="F104" s="105">
        <v>5460.48</v>
      </c>
      <c r="G104" s="106">
        <v>7199220000</v>
      </c>
      <c r="H104" s="107">
        <f t="shared" si="1"/>
        <v>-4.0836277351095915E-3</v>
      </c>
    </row>
    <row r="105" spans="1:8" ht="15">
      <c r="A105" s="109">
        <v>45470</v>
      </c>
      <c r="B105" s="105">
        <v>5473.59</v>
      </c>
      <c r="C105" s="105">
        <v>5490.81</v>
      </c>
      <c r="D105" s="105">
        <v>5467.54</v>
      </c>
      <c r="E105" s="105">
        <v>5482.87</v>
      </c>
      <c r="F105" s="105">
        <v>5482.87</v>
      </c>
      <c r="G105" s="106">
        <v>3589530000</v>
      </c>
      <c r="H105" s="107">
        <f t="shared" si="1"/>
        <v>9.0728198762304077E-4</v>
      </c>
    </row>
    <row r="106" spans="1:8" ht="15">
      <c r="A106" s="109">
        <v>45469</v>
      </c>
      <c r="B106" s="105">
        <v>5460.71</v>
      </c>
      <c r="C106" s="105">
        <v>5483.14</v>
      </c>
      <c r="D106" s="105">
        <v>5451.87</v>
      </c>
      <c r="E106" s="105">
        <v>5477.9</v>
      </c>
      <c r="F106" s="105">
        <v>5477.9</v>
      </c>
      <c r="G106" s="106">
        <v>3563920000</v>
      </c>
      <c r="H106" s="107">
        <f t="shared" si="1"/>
        <v>1.5724132887205773E-3</v>
      </c>
    </row>
    <row r="107" spans="1:8" ht="15">
      <c r="A107" s="109">
        <v>45468</v>
      </c>
      <c r="B107" s="105">
        <v>5460.73</v>
      </c>
      <c r="C107" s="105">
        <v>5472.88</v>
      </c>
      <c r="D107" s="105">
        <v>5446.56</v>
      </c>
      <c r="E107" s="105">
        <v>5469.3</v>
      </c>
      <c r="F107" s="105">
        <v>5469.3</v>
      </c>
      <c r="G107" s="106">
        <v>3591960000</v>
      </c>
      <c r="H107" s="107">
        <f t="shared" si="1"/>
        <v>3.9336474622192327E-3</v>
      </c>
    </row>
    <row r="108" spans="1:8" ht="15">
      <c r="A108" s="109">
        <v>45467</v>
      </c>
      <c r="B108" s="105">
        <v>5459.58</v>
      </c>
      <c r="C108" s="105">
        <v>5490.66</v>
      </c>
      <c r="D108" s="105">
        <v>5447.59</v>
      </c>
      <c r="E108" s="105">
        <v>5447.87</v>
      </c>
      <c r="F108" s="105">
        <v>5447.87</v>
      </c>
      <c r="G108" s="106">
        <v>3696750000</v>
      </c>
      <c r="H108" s="107">
        <f t="shared" si="1"/>
        <v>-3.0651719607218799E-3</v>
      </c>
    </row>
    <row r="109" spans="1:8" ht="15">
      <c r="A109" s="109">
        <v>45464</v>
      </c>
      <c r="B109" s="105">
        <v>5466.77</v>
      </c>
      <c r="C109" s="105">
        <v>5478.31</v>
      </c>
      <c r="D109" s="105">
        <v>5452.03</v>
      </c>
      <c r="E109" s="105">
        <v>5464.62</v>
      </c>
      <c r="F109" s="105">
        <v>5464.62</v>
      </c>
      <c r="G109" s="106">
        <v>6773800000</v>
      </c>
      <c r="H109" s="107">
        <f t="shared" si="1"/>
        <v>-1.5621659842468226E-3</v>
      </c>
    </row>
    <row r="110" spans="1:8" ht="15">
      <c r="A110" s="109">
        <v>45463</v>
      </c>
      <c r="B110" s="105">
        <v>5499.99</v>
      </c>
      <c r="C110" s="105">
        <v>5505.53</v>
      </c>
      <c r="D110" s="105">
        <v>5455.56</v>
      </c>
      <c r="E110" s="105">
        <v>5473.17</v>
      </c>
      <c r="F110" s="105">
        <v>5473.17</v>
      </c>
      <c r="G110" s="106">
        <v>3847060000</v>
      </c>
      <c r="H110" s="107">
        <f t="shared" si="1"/>
        <v>-2.5259566650810499E-3</v>
      </c>
    </row>
    <row r="111" spans="1:8" ht="15">
      <c r="A111" s="109">
        <v>45461</v>
      </c>
      <c r="B111" s="105">
        <v>5476.15</v>
      </c>
      <c r="C111" s="105">
        <v>5490.38</v>
      </c>
      <c r="D111" s="105">
        <v>5471.32</v>
      </c>
      <c r="E111" s="105">
        <v>5487.03</v>
      </c>
      <c r="F111" s="105">
        <v>5487.03</v>
      </c>
      <c r="G111" s="106">
        <v>3544330000</v>
      </c>
      <c r="H111" s="107">
        <f t="shared" si="1"/>
        <v>2.5213630708010048E-3</v>
      </c>
    </row>
    <row r="112" spans="1:8" ht="15">
      <c r="A112" s="109">
        <v>45460</v>
      </c>
      <c r="B112" s="105">
        <v>5431.11</v>
      </c>
      <c r="C112" s="105">
        <v>5488.5</v>
      </c>
      <c r="D112" s="105">
        <v>5420.4</v>
      </c>
      <c r="E112" s="105">
        <v>5473.23</v>
      </c>
      <c r="F112" s="105">
        <v>5473.23</v>
      </c>
      <c r="G112" s="106">
        <v>3447840000</v>
      </c>
      <c r="H112" s="107">
        <f t="shared" si="1"/>
        <v>7.6644082774871489E-3</v>
      </c>
    </row>
    <row r="113" spans="1:8" ht="15">
      <c r="A113" s="109">
        <v>45457</v>
      </c>
      <c r="B113" s="105">
        <v>5424.08</v>
      </c>
      <c r="C113" s="105">
        <v>5432.39</v>
      </c>
      <c r="D113" s="105">
        <v>5403.75</v>
      </c>
      <c r="E113" s="105">
        <v>5431.6</v>
      </c>
      <c r="F113" s="105">
        <v>5431.6</v>
      </c>
      <c r="G113" s="106">
        <v>3438650000</v>
      </c>
      <c r="H113" s="107">
        <f t="shared" si="1"/>
        <v>-3.9383555341245956E-4</v>
      </c>
    </row>
    <row r="114" spans="1:8" ht="15">
      <c r="A114" s="109">
        <v>45456</v>
      </c>
      <c r="B114" s="105">
        <v>5441.93</v>
      </c>
      <c r="C114" s="105">
        <v>5441.93</v>
      </c>
      <c r="D114" s="105">
        <v>5402.51</v>
      </c>
      <c r="E114" s="105">
        <v>5433.74</v>
      </c>
      <c r="F114" s="105">
        <v>5433.74</v>
      </c>
      <c r="G114" s="106">
        <v>3530380000</v>
      </c>
      <c r="H114" s="107">
        <f t="shared" si="1"/>
        <v>2.3445728948188883E-3</v>
      </c>
    </row>
    <row r="115" spans="1:8" ht="15">
      <c r="A115" s="109">
        <v>45455</v>
      </c>
      <c r="B115" s="105">
        <v>5409.13</v>
      </c>
      <c r="C115" s="105">
        <v>5447.25</v>
      </c>
      <c r="D115" s="105">
        <v>5409.13</v>
      </c>
      <c r="E115" s="105">
        <v>5421.03</v>
      </c>
      <c r="F115" s="105">
        <v>5421.03</v>
      </c>
      <c r="G115" s="106">
        <v>3962840000</v>
      </c>
      <c r="H115" s="107">
        <f t="shared" si="1"/>
        <v>8.5036797809246775E-3</v>
      </c>
    </row>
    <row r="116" spans="1:8" ht="15">
      <c r="A116" s="109">
        <v>45454</v>
      </c>
      <c r="B116" s="105">
        <v>5353</v>
      </c>
      <c r="C116" s="105">
        <v>5375.95</v>
      </c>
      <c r="D116" s="105">
        <v>5327.25</v>
      </c>
      <c r="E116" s="105">
        <v>5375.32</v>
      </c>
      <c r="F116" s="105">
        <v>5375.32</v>
      </c>
      <c r="G116" s="106">
        <v>3568030000</v>
      </c>
      <c r="H116" s="107">
        <f t="shared" si="1"/>
        <v>2.7104214117694863E-3</v>
      </c>
    </row>
    <row r="117" spans="1:8" ht="15">
      <c r="A117" s="109">
        <v>45453</v>
      </c>
      <c r="B117" s="105">
        <v>5341.22</v>
      </c>
      <c r="C117" s="105">
        <v>5365.79</v>
      </c>
      <c r="D117" s="105">
        <v>5331.52</v>
      </c>
      <c r="E117" s="105">
        <v>5360.79</v>
      </c>
      <c r="F117" s="105">
        <v>5360.79</v>
      </c>
      <c r="G117" s="106">
        <v>3622280000</v>
      </c>
      <c r="H117" s="107">
        <f t="shared" si="1"/>
        <v>2.5808913052016522E-3</v>
      </c>
    </row>
    <row r="118" spans="1:8" ht="15">
      <c r="A118" s="109">
        <v>45450</v>
      </c>
      <c r="B118" s="105">
        <v>5343.81</v>
      </c>
      <c r="C118" s="105">
        <v>5375.08</v>
      </c>
      <c r="D118" s="105">
        <v>5331.33</v>
      </c>
      <c r="E118" s="105">
        <v>5346.99</v>
      </c>
      <c r="F118" s="105">
        <v>5346.99</v>
      </c>
      <c r="G118" s="106">
        <v>3692760000</v>
      </c>
      <c r="H118" s="107">
        <f t="shared" si="1"/>
        <v>-1.1152708034433761E-3</v>
      </c>
    </row>
    <row r="119" spans="1:8" ht="15">
      <c r="A119" s="109">
        <v>45449</v>
      </c>
      <c r="B119" s="105">
        <v>5357.8</v>
      </c>
      <c r="C119" s="105">
        <v>5362.35</v>
      </c>
      <c r="D119" s="105">
        <v>5335.36</v>
      </c>
      <c r="E119" s="105">
        <v>5352.96</v>
      </c>
      <c r="F119" s="105">
        <v>5352.96</v>
      </c>
      <c r="G119" s="106">
        <v>3609990000</v>
      </c>
      <c r="H119" s="107">
        <f t="shared" si="1"/>
        <v>-1.9984945919236706E-4</v>
      </c>
    </row>
    <row r="120" spans="1:8" ht="15">
      <c r="A120" s="109">
        <v>45448</v>
      </c>
      <c r="B120" s="105">
        <v>5314.48</v>
      </c>
      <c r="C120" s="105">
        <v>5354.16</v>
      </c>
      <c r="D120" s="105">
        <v>5297.64</v>
      </c>
      <c r="E120" s="105">
        <v>5354.03</v>
      </c>
      <c r="F120" s="105">
        <v>5354.03</v>
      </c>
      <c r="G120" s="106">
        <v>3591460000</v>
      </c>
      <c r="H120" s="107">
        <f t="shared" si="1"/>
        <v>1.1847660516995619E-2</v>
      </c>
    </row>
    <row r="121" spans="1:8" ht="15">
      <c r="A121" s="109">
        <v>45447</v>
      </c>
      <c r="B121" s="105">
        <v>5278.24</v>
      </c>
      <c r="C121" s="105">
        <v>5298.8</v>
      </c>
      <c r="D121" s="105">
        <v>5257.63</v>
      </c>
      <c r="E121" s="105">
        <v>5291.34</v>
      </c>
      <c r="F121" s="105">
        <v>5291.34</v>
      </c>
      <c r="G121" s="106">
        <v>3707900000</v>
      </c>
      <c r="H121" s="107">
        <f t="shared" si="1"/>
        <v>1.502820153689009E-3</v>
      </c>
    </row>
    <row r="122" spans="1:8" ht="15">
      <c r="A122" s="109">
        <v>45446</v>
      </c>
      <c r="B122" s="105">
        <v>5297.15</v>
      </c>
      <c r="C122" s="105">
        <v>5302.11</v>
      </c>
      <c r="D122" s="105">
        <v>5234.32</v>
      </c>
      <c r="E122" s="105">
        <v>5283.4</v>
      </c>
      <c r="F122" s="105">
        <v>5283.4</v>
      </c>
      <c r="G122" s="106">
        <v>4046920000</v>
      </c>
      <c r="H122" s="107">
        <f t="shared" si="1"/>
        <v>1.1160566251886624E-3</v>
      </c>
    </row>
    <row r="123" spans="1:8" ht="15">
      <c r="A123" s="109">
        <v>45443</v>
      </c>
      <c r="B123" s="105">
        <v>5243.21</v>
      </c>
      <c r="C123" s="105">
        <v>5280.33</v>
      </c>
      <c r="D123" s="105">
        <v>5191.68</v>
      </c>
      <c r="E123" s="105">
        <v>5277.51</v>
      </c>
      <c r="F123" s="105">
        <v>5277.51</v>
      </c>
      <c r="G123" s="106">
        <v>5437160000</v>
      </c>
      <c r="H123" s="107">
        <f t="shared" si="1"/>
        <v>8.0279172110294863E-3</v>
      </c>
    </row>
    <row r="124" spans="1:8" ht="15">
      <c r="A124" s="109">
        <v>45442</v>
      </c>
      <c r="B124" s="105">
        <v>5259.77</v>
      </c>
      <c r="C124" s="105">
        <v>5260.21</v>
      </c>
      <c r="D124" s="105">
        <v>5222.1000000000004</v>
      </c>
      <c r="E124" s="105">
        <v>5235.4799999999996</v>
      </c>
      <c r="F124" s="105">
        <v>5235.4799999999996</v>
      </c>
      <c r="G124" s="106">
        <v>3818750000</v>
      </c>
      <c r="H124" s="107">
        <f t="shared" si="1"/>
        <v>-5.9749950160909553E-3</v>
      </c>
    </row>
    <row r="125" spans="1:8" ht="15">
      <c r="A125" s="109">
        <v>45441</v>
      </c>
      <c r="B125" s="105">
        <v>5278.73</v>
      </c>
      <c r="C125" s="105">
        <v>5282.27</v>
      </c>
      <c r="D125" s="105">
        <v>5262.7</v>
      </c>
      <c r="E125" s="105">
        <v>5266.95</v>
      </c>
      <c r="F125" s="105">
        <v>5266.95</v>
      </c>
      <c r="G125" s="106">
        <v>3552750000</v>
      </c>
      <c r="H125" s="107">
        <f t="shared" si="1"/>
        <v>-7.3670760114888214E-3</v>
      </c>
    </row>
    <row r="126" spans="1:8" ht="15">
      <c r="A126" s="109">
        <v>45440</v>
      </c>
      <c r="B126" s="105">
        <v>5315.91</v>
      </c>
      <c r="C126" s="105">
        <v>5315.91</v>
      </c>
      <c r="D126" s="105">
        <v>5280.89</v>
      </c>
      <c r="E126" s="105">
        <v>5306.04</v>
      </c>
      <c r="F126" s="105">
        <v>5306.04</v>
      </c>
      <c r="G126" s="106">
        <v>3751540000</v>
      </c>
      <c r="H126" s="107">
        <f t="shared" si="1"/>
        <v>2.4883499977373149E-4</v>
      </c>
    </row>
    <row r="127" spans="1:8" ht="15">
      <c r="A127" s="109">
        <v>45436</v>
      </c>
      <c r="B127" s="105">
        <v>5281.45</v>
      </c>
      <c r="C127" s="105">
        <v>5311.65</v>
      </c>
      <c r="D127" s="105">
        <v>5278.39</v>
      </c>
      <c r="E127" s="105">
        <v>5304.72</v>
      </c>
      <c r="F127" s="105">
        <v>5304.72</v>
      </c>
      <c r="G127" s="106">
        <v>3005510000</v>
      </c>
      <c r="H127" s="107">
        <f t="shared" si="1"/>
        <v>7.0009719353663191E-3</v>
      </c>
    </row>
    <row r="128" spans="1:8" ht="15">
      <c r="A128" s="109">
        <v>45435</v>
      </c>
      <c r="B128" s="105">
        <v>5340.26</v>
      </c>
      <c r="C128" s="105">
        <v>5341.88</v>
      </c>
      <c r="D128" s="105">
        <v>5256.93</v>
      </c>
      <c r="E128" s="105">
        <v>5267.84</v>
      </c>
      <c r="F128" s="105">
        <v>5267.84</v>
      </c>
      <c r="G128" s="106">
        <v>3869520000</v>
      </c>
      <c r="H128" s="107">
        <f t="shared" si="1"/>
        <v>-7.3808038801509834E-3</v>
      </c>
    </row>
    <row r="129" spans="1:8" ht="15">
      <c r="A129" s="109">
        <v>45434</v>
      </c>
      <c r="B129" s="105">
        <v>5319.28</v>
      </c>
      <c r="C129" s="105">
        <v>5323.18</v>
      </c>
      <c r="D129" s="105">
        <v>5286.01</v>
      </c>
      <c r="E129" s="105">
        <v>5307.01</v>
      </c>
      <c r="F129" s="105">
        <v>5307.01</v>
      </c>
      <c r="G129" s="106">
        <v>3847130000</v>
      </c>
      <c r="H129" s="107">
        <f t="shared" si="1"/>
        <v>-2.7060497123881895E-3</v>
      </c>
    </row>
    <row r="130" spans="1:8" ht="15">
      <c r="A130" s="109">
        <v>45433</v>
      </c>
      <c r="B130" s="105">
        <v>5298.69</v>
      </c>
      <c r="C130" s="105">
        <v>5324.32</v>
      </c>
      <c r="D130" s="105">
        <v>5297.87</v>
      </c>
      <c r="E130" s="105">
        <v>5321.41</v>
      </c>
      <c r="F130" s="105">
        <v>5321.41</v>
      </c>
      <c r="G130" s="106">
        <v>3662240000</v>
      </c>
      <c r="H130" s="107">
        <f t="shared" si="1"/>
        <v>2.5018226757821953E-3</v>
      </c>
    </row>
    <row r="131" spans="1:8" ht="15">
      <c r="A131" s="109">
        <v>45432</v>
      </c>
      <c r="B131" s="105">
        <v>5305.35</v>
      </c>
      <c r="C131" s="105">
        <v>5325.32</v>
      </c>
      <c r="D131" s="105">
        <v>5302.4</v>
      </c>
      <c r="E131" s="105">
        <v>5308.13</v>
      </c>
      <c r="F131" s="105">
        <v>5308.13</v>
      </c>
      <c r="G131" s="106">
        <v>3420100000</v>
      </c>
      <c r="H131" s="107">
        <f t="shared" ref="H131:H194" si="2">(F131-F132)/F132</f>
        <v>9.1641572086649786E-4</v>
      </c>
    </row>
    <row r="132" spans="1:8" ht="15">
      <c r="A132" s="109">
        <v>45429</v>
      </c>
      <c r="B132" s="105">
        <v>5303.1</v>
      </c>
      <c r="C132" s="105">
        <v>5305.45</v>
      </c>
      <c r="D132" s="105">
        <v>5283.59</v>
      </c>
      <c r="E132" s="105">
        <v>5303.27</v>
      </c>
      <c r="F132" s="105">
        <v>5303.27</v>
      </c>
      <c r="G132" s="106">
        <v>3578120000</v>
      </c>
      <c r="H132" s="107">
        <f t="shared" si="2"/>
        <v>1.1647882803798441E-3</v>
      </c>
    </row>
    <row r="133" spans="1:8" ht="15">
      <c r="A133" s="109">
        <v>45428</v>
      </c>
      <c r="B133" s="105">
        <v>5310.07</v>
      </c>
      <c r="C133" s="105">
        <v>5325.49</v>
      </c>
      <c r="D133" s="105">
        <v>5296.19</v>
      </c>
      <c r="E133" s="105">
        <v>5297.1</v>
      </c>
      <c r="F133" s="105">
        <v>5297.1</v>
      </c>
      <c r="G133" s="106">
        <v>3817470000</v>
      </c>
      <c r="H133" s="107">
        <f t="shared" si="2"/>
        <v>-2.0817045486655941E-3</v>
      </c>
    </row>
    <row r="134" spans="1:8" ht="15">
      <c r="A134" s="109">
        <v>45427</v>
      </c>
      <c r="B134" s="105">
        <v>5263.26</v>
      </c>
      <c r="C134" s="105">
        <v>5311.76</v>
      </c>
      <c r="D134" s="105">
        <v>5263.26</v>
      </c>
      <c r="E134" s="105">
        <v>5308.15</v>
      </c>
      <c r="F134" s="105">
        <v>5308.15</v>
      </c>
      <c r="G134" s="106">
        <v>4360810000</v>
      </c>
      <c r="H134" s="107">
        <f t="shared" si="2"/>
        <v>1.17159803914093E-2</v>
      </c>
    </row>
    <row r="135" spans="1:8" ht="15">
      <c r="A135" s="109">
        <v>45426</v>
      </c>
      <c r="B135" s="105">
        <v>5221.1000000000004</v>
      </c>
      <c r="C135" s="105">
        <v>5250.37</v>
      </c>
      <c r="D135" s="105">
        <v>5217.9799999999996</v>
      </c>
      <c r="E135" s="105">
        <v>5246.68</v>
      </c>
      <c r="F135" s="105">
        <v>5246.68</v>
      </c>
      <c r="G135" s="106">
        <v>4763580000</v>
      </c>
      <c r="H135" s="107">
        <f t="shared" si="2"/>
        <v>4.8377644395586296E-3</v>
      </c>
    </row>
    <row r="136" spans="1:8" ht="15">
      <c r="A136" s="109">
        <v>45425</v>
      </c>
      <c r="B136" s="105">
        <v>5233.08</v>
      </c>
      <c r="C136" s="105">
        <v>5237.26</v>
      </c>
      <c r="D136" s="105">
        <v>5211.16</v>
      </c>
      <c r="E136" s="105">
        <v>5221.42</v>
      </c>
      <c r="F136" s="105">
        <v>5221.42</v>
      </c>
      <c r="G136" s="106">
        <v>4255710000</v>
      </c>
      <c r="H136" s="107">
        <f t="shared" si="2"/>
        <v>-2.412554473948659E-4</v>
      </c>
    </row>
    <row r="137" spans="1:8" ht="15">
      <c r="A137" s="109">
        <v>45422</v>
      </c>
      <c r="B137" s="105">
        <v>5225.49</v>
      </c>
      <c r="C137" s="105">
        <v>5239.66</v>
      </c>
      <c r="D137" s="105">
        <v>5209.68</v>
      </c>
      <c r="E137" s="105">
        <v>5222.68</v>
      </c>
      <c r="F137" s="105">
        <v>5222.68</v>
      </c>
      <c r="G137" s="106">
        <v>3617900000</v>
      </c>
      <c r="H137" s="107">
        <f t="shared" si="2"/>
        <v>1.6493801399288779E-3</v>
      </c>
    </row>
    <row r="138" spans="1:8" ht="15">
      <c r="A138" s="109">
        <v>45421</v>
      </c>
      <c r="B138" s="105">
        <v>5189.03</v>
      </c>
      <c r="C138" s="105">
        <v>5215.3</v>
      </c>
      <c r="D138" s="105">
        <v>5180.41</v>
      </c>
      <c r="E138" s="105">
        <v>5214.08</v>
      </c>
      <c r="F138" s="105">
        <v>5214.08</v>
      </c>
      <c r="G138" s="106">
        <v>3727370000</v>
      </c>
      <c r="H138" s="107">
        <f t="shared" si="2"/>
        <v>5.0909175024625416E-3</v>
      </c>
    </row>
    <row r="139" spans="1:8" ht="15">
      <c r="A139" s="109">
        <v>45420</v>
      </c>
      <c r="B139" s="105">
        <v>5168.9799999999996</v>
      </c>
      <c r="C139" s="105">
        <v>5191.95</v>
      </c>
      <c r="D139" s="105">
        <v>5165.8599999999997</v>
      </c>
      <c r="E139" s="105">
        <v>5187.67</v>
      </c>
      <c r="F139" s="105">
        <v>5187.67</v>
      </c>
      <c r="G139" s="106">
        <v>3842100000</v>
      </c>
      <c r="H139" s="107">
        <f t="shared" si="2"/>
        <v>-5.7829095745215304E-6</v>
      </c>
    </row>
    <row r="140" spans="1:8" ht="15">
      <c r="A140" s="109">
        <v>45419</v>
      </c>
      <c r="B140" s="105">
        <v>5187.2</v>
      </c>
      <c r="C140" s="105">
        <v>5200.2299999999996</v>
      </c>
      <c r="D140" s="105">
        <v>5178.96</v>
      </c>
      <c r="E140" s="105">
        <v>5187.7</v>
      </c>
      <c r="F140" s="105">
        <v>5187.7</v>
      </c>
      <c r="G140" s="106">
        <v>3987890000</v>
      </c>
      <c r="H140" s="107">
        <f t="shared" si="2"/>
        <v>1.3434374239973512E-3</v>
      </c>
    </row>
    <row r="141" spans="1:8" ht="15">
      <c r="A141" s="109">
        <v>45418</v>
      </c>
      <c r="B141" s="105">
        <v>5142.42</v>
      </c>
      <c r="C141" s="105">
        <v>5181</v>
      </c>
      <c r="D141" s="105">
        <v>5142.42</v>
      </c>
      <c r="E141" s="105">
        <v>5180.74</v>
      </c>
      <c r="F141" s="105">
        <v>5180.74</v>
      </c>
      <c r="G141" s="106">
        <v>3683250000</v>
      </c>
      <c r="H141" s="107">
        <f t="shared" si="2"/>
        <v>1.0326085896653299E-2</v>
      </c>
    </row>
    <row r="142" spans="1:8" ht="15">
      <c r="A142" s="109">
        <v>45415</v>
      </c>
      <c r="B142" s="105">
        <v>5122.78</v>
      </c>
      <c r="C142" s="105">
        <v>5139.12</v>
      </c>
      <c r="D142" s="105">
        <v>5101.22</v>
      </c>
      <c r="E142" s="105">
        <v>5127.79</v>
      </c>
      <c r="F142" s="105">
        <v>5127.79</v>
      </c>
      <c r="G142" s="106">
        <v>3924990000</v>
      </c>
      <c r="H142" s="107">
        <f t="shared" si="2"/>
        <v>1.2556771059594832E-2</v>
      </c>
    </row>
    <row r="143" spans="1:8" ht="15">
      <c r="A143" s="109">
        <v>45414</v>
      </c>
      <c r="B143" s="105">
        <v>5049.32</v>
      </c>
      <c r="C143" s="105">
        <v>5073.21</v>
      </c>
      <c r="D143" s="105">
        <v>5011.05</v>
      </c>
      <c r="E143" s="105">
        <v>5064.2</v>
      </c>
      <c r="F143" s="105">
        <v>5064.2</v>
      </c>
      <c r="G143" s="106">
        <v>4381660000</v>
      </c>
      <c r="H143" s="107">
        <f t="shared" si="2"/>
        <v>9.128425650457515E-3</v>
      </c>
    </row>
    <row r="144" spans="1:8" ht="15">
      <c r="A144" s="109">
        <v>45413</v>
      </c>
      <c r="B144" s="105">
        <v>5029.03</v>
      </c>
      <c r="C144" s="105">
        <v>5096.12</v>
      </c>
      <c r="D144" s="105">
        <v>5013.45</v>
      </c>
      <c r="E144" s="105">
        <v>5018.3900000000003</v>
      </c>
      <c r="F144" s="105">
        <v>5018.3900000000003</v>
      </c>
      <c r="G144" s="106">
        <v>4544170000</v>
      </c>
      <c r="H144" s="107">
        <f t="shared" si="2"/>
        <v>-3.4354775611682357E-3</v>
      </c>
    </row>
    <row r="145" spans="1:8" ht="15">
      <c r="A145" s="109">
        <v>45412</v>
      </c>
      <c r="B145" s="105">
        <v>5103.78</v>
      </c>
      <c r="C145" s="105">
        <v>5110.83</v>
      </c>
      <c r="D145" s="105">
        <v>5035.3100000000004</v>
      </c>
      <c r="E145" s="105">
        <v>5035.6899999999996</v>
      </c>
      <c r="F145" s="105">
        <v>5035.6899999999996</v>
      </c>
      <c r="G145" s="106">
        <v>4082470000</v>
      </c>
      <c r="H145" s="107">
        <f t="shared" si="2"/>
        <v>-1.5730517164206911E-2</v>
      </c>
    </row>
    <row r="146" spans="1:8" ht="15">
      <c r="A146" s="109">
        <v>45411</v>
      </c>
      <c r="B146" s="105">
        <v>5114.13</v>
      </c>
      <c r="C146" s="105">
        <v>5123.49</v>
      </c>
      <c r="D146" s="105">
        <v>5088.6499999999996</v>
      </c>
      <c r="E146" s="105">
        <v>5116.17</v>
      </c>
      <c r="F146" s="105">
        <v>5116.17</v>
      </c>
      <c r="G146" s="106">
        <v>3447450000</v>
      </c>
      <c r="H146" s="107">
        <f t="shared" si="2"/>
        <v>3.1784563016180592E-3</v>
      </c>
    </row>
    <row r="147" spans="1:8" ht="15">
      <c r="A147" s="109">
        <v>45408</v>
      </c>
      <c r="B147" s="105">
        <v>5084.6499999999996</v>
      </c>
      <c r="C147" s="105">
        <v>5114.62</v>
      </c>
      <c r="D147" s="105">
        <v>5073.1400000000003</v>
      </c>
      <c r="E147" s="105">
        <v>5099.96</v>
      </c>
      <c r="F147" s="105">
        <v>5099.96</v>
      </c>
      <c r="G147" s="106">
        <v>3604140000</v>
      </c>
      <c r="H147" s="107">
        <f t="shared" si="2"/>
        <v>1.0209134739185718E-2</v>
      </c>
    </row>
    <row r="148" spans="1:8" ht="15">
      <c r="A148" s="109">
        <v>45407</v>
      </c>
      <c r="B148" s="105">
        <v>5019.88</v>
      </c>
      <c r="C148" s="105">
        <v>5057.75</v>
      </c>
      <c r="D148" s="105">
        <v>4990.58</v>
      </c>
      <c r="E148" s="105">
        <v>5048.42</v>
      </c>
      <c r="F148" s="105">
        <v>5048.42</v>
      </c>
      <c r="G148" s="106">
        <v>3958050000</v>
      </c>
      <c r="H148" s="107">
        <f t="shared" si="2"/>
        <v>-4.5764379499293201E-3</v>
      </c>
    </row>
    <row r="149" spans="1:8" ht="15">
      <c r="A149" s="109">
        <v>45406</v>
      </c>
      <c r="B149" s="105">
        <v>5084.8599999999997</v>
      </c>
      <c r="C149" s="105">
        <v>5089.4799999999996</v>
      </c>
      <c r="D149" s="105">
        <v>5047.0200000000004</v>
      </c>
      <c r="E149" s="105">
        <v>5071.63</v>
      </c>
      <c r="F149" s="105">
        <v>5071.63</v>
      </c>
      <c r="G149" s="106">
        <v>3656740000</v>
      </c>
      <c r="H149" s="107">
        <f t="shared" si="2"/>
        <v>2.1299464555125721E-4</v>
      </c>
    </row>
    <row r="150" spans="1:8" ht="15">
      <c r="A150" s="109">
        <v>45405</v>
      </c>
      <c r="B150" s="105">
        <v>5028.8500000000004</v>
      </c>
      <c r="C150" s="105">
        <v>5076.12</v>
      </c>
      <c r="D150" s="105">
        <v>5027.96</v>
      </c>
      <c r="E150" s="105">
        <v>5070.55</v>
      </c>
      <c r="F150" s="105">
        <v>5070.55</v>
      </c>
      <c r="G150" s="106">
        <v>3751400000</v>
      </c>
      <c r="H150" s="107">
        <f t="shared" si="2"/>
        <v>1.1964634973855389E-2</v>
      </c>
    </row>
    <row r="151" spans="1:8" ht="15">
      <c r="A151" s="109">
        <v>45404</v>
      </c>
      <c r="B151" s="105">
        <v>4987.33</v>
      </c>
      <c r="C151" s="105">
        <v>5038.84</v>
      </c>
      <c r="D151" s="105">
        <v>4969.3999999999996</v>
      </c>
      <c r="E151" s="105">
        <v>5010.6000000000004</v>
      </c>
      <c r="F151" s="105">
        <v>5010.6000000000004</v>
      </c>
      <c r="G151" s="106">
        <v>3820250000</v>
      </c>
      <c r="H151" s="107">
        <f t="shared" si="2"/>
        <v>8.7312244450127741E-3</v>
      </c>
    </row>
    <row r="152" spans="1:8" ht="15">
      <c r="A152" s="109">
        <v>45401</v>
      </c>
      <c r="B152" s="105">
        <v>5005.4399999999996</v>
      </c>
      <c r="C152" s="105">
        <v>5019.0200000000004</v>
      </c>
      <c r="D152" s="105">
        <v>4953.5600000000004</v>
      </c>
      <c r="E152" s="105">
        <v>4967.2299999999996</v>
      </c>
      <c r="F152" s="105">
        <v>4967.2299999999996</v>
      </c>
      <c r="G152" s="106">
        <v>3878750000</v>
      </c>
      <c r="H152" s="107">
        <f t="shared" si="2"/>
        <v>-8.7585210491866738E-3</v>
      </c>
    </row>
    <row r="153" spans="1:8" ht="15">
      <c r="A153" s="109">
        <v>45400</v>
      </c>
      <c r="B153" s="105">
        <v>5031.5200000000004</v>
      </c>
      <c r="C153" s="105">
        <v>5056.66</v>
      </c>
      <c r="D153" s="105">
        <v>5001.8900000000003</v>
      </c>
      <c r="E153" s="105">
        <v>5011.12</v>
      </c>
      <c r="F153" s="105">
        <v>5011.12</v>
      </c>
      <c r="G153" s="106">
        <v>3619760000</v>
      </c>
      <c r="H153" s="107">
        <f t="shared" si="2"/>
        <v>-2.2081912146246665E-3</v>
      </c>
    </row>
    <row r="154" spans="1:8" ht="15">
      <c r="A154" s="109">
        <v>45399</v>
      </c>
      <c r="B154" s="105">
        <v>5068.97</v>
      </c>
      <c r="C154" s="105">
        <v>5077.96</v>
      </c>
      <c r="D154" s="105">
        <v>5007.25</v>
      </c>
      <c r="E154" s="105">
        <v>5022.21</v>
      </c>
      <c r="F154" s="105">
        <v>5022.21</v>
      </c>
      <c r="G154" s="106">
        <v>3596130000</v>
      </c>
      <c r="H154" s="107">
        <f t="shared" si="2"/>
        <v>-5.7805642384997098E-3</v>
      </c>
    </row>
    <row r="155" spans="1:8" ht="15">
      <c r="A155" s="109">
        <v>45398</v>
      </c>
      <c r="B155" s="105">
        <v>5064.59</v>
      </c>
      <c r="C155" s="105">
        <v>5079.84</v>
      </c>
      <c r="D155" s="105">
        <v>5039.83</v>
      </c>
      <c r="E155" s="105">
        <v>5051.41</v>
      </c>
      <c r="F155" s="105">
        <v>5051.41</v>
      </c>
      <c r="G155" s="106">
        <v>4006200000</v>
      </c>
      <c r="H155" s="107">
        <f t="shared" si="2"/>
        <v>-2.0565725371506404E-3</v>
      </c>
    </row>
    <row r="156" spans="1:8" ht="15">
      <c r="A156" s="109">
        <v>45397</v>
      </c>
      <c r="B156" s="105">
        <v>5149.67</v>
      </c>
      <c r="C156" s="105">
        <v>5168.43</v>
      </c>
      <c r="D156" s="105">
        <v>5052.47</v>
      </c>
      <c r="E156" s="105">
        <v>5061.82</v>
      </c>
      <c r="F156" s="105">
        <v>5061.82</v>
      </c>
      <c r="G156" s="106">
        <v>3950210000</v>
      </c>
      <c r="H156" s="107">
        <f t="shared" si="2"/>
        <v>-1.2021290507689244E-2</v>
      </c>
    </row>
    <row r="157" spans="1:8" ht="15">
      <c r="A157" s="109">
        <v>45394</v>
      </c>
      <c r="B157" s="105">
        <v>5171.51</v>
      </c>
      <c r="C157" s="105">
        <v>5175.03</v>
      </c>
      <c r="D157" s="105">
        <v>5107.9399999999996</v>
      </c>
      <c r="E157" s="105">
        <v>5123.41</v>
      </c>
      <c r="F157" s="105">
        <v>5123.41</v>
      </c>
      <c r="G157" s="106">
        <v>3963220000</v>
      </c>
      <c r="H157" s="107">
        <f t="shared" si="2"/>
        <v>-1.4550707243232534E-2</v>
      </c>
    </row>
    <row r="158" spans="1:8" ht="15">
      <c r="A158" s="109">
        <v>45393</v>
      </c>
      <c r="B158" s="105">
        <v>5172.95</v>
      </c>
      <c r="C158" s="105">
        <v>5211.78</v>
      </c>
      <c r="D158" s="105">
        <v>5138.7700000000004</v>
      </c>
      <c r="E158" s="105">
        <v>5199.0600000000004</v>
      </c>
      <c r="F158" s="105">
        <v>5199.0600000000004</v>
      </c>
      <c r="G158" s="106">
        <v>3509380000</v>
      </c>
      <c r="H158" s="107">
        <f t="shared" si="2"/>
        <v>7.4448130464438659E-3</v>
      </c>
    </row>
    <row r="159" spans="1:8" ht="15">
      <c r="A159" s="109">
        <v>45392</v>
      </c>
      <c r="B159" s="105">
        <v>5167.88</v>
      </c>
      <c r="C159" s="105">
        <v>5178.43</v>
      </c>
      <c r="D159" s="105">
        <v>5138.7</v>
      </c>
      <c r="E159" s="105">
        <v>5160.6400000000003</v>
      </c>
      <c r="F159" s="105">
        <v>5160.6400000000003</v>
      </c>
      <c r="G159" s="106">
        <v>3845930000</v>
      </c>
      <c r="H159" s="107">
        <f t="shared" si="2"/>
        <v>-9.456977183866809E-3</v>
      </c>
    </row>
    <row r="160" spans="1:8" ht="15">
      <c r="A160" s="109">
        <v>45391</v>
      </c>
      <c r="B160" s="105">
        <v>5217.03</v>
      </c>
      <c r="C160" s="105">
        <v>5224.8100000000004</v>
      </c>
      <c r="D160" s="105">
        <v>5160.78</v>
      </c>
      <c r="E160" s="105">
        <v>5209.91</v>
      </c>
      <c r="F160" s="105">
        <v>5209.91</v>
      </c>
      <c r="G160" s="106">
        <v>3400680000</v>
      </c>
      <c r="H160" s="107">
        <f t="shared" si="2"/>
        <v>1.4454894769518483E-3</v>
      </c>
    </row>
    <row r="161" spans="1:8" ht="15">
      <c r="A161" s="109">
        <v>45390</v>
      </c>
      <c r="B161" s="105">
        <v>5211.37</v>
      </c>
      <c r="C161" s="105">
        <v>5219.57</v>
      </c>
      <c r="D161" s="105">
        <v>5197.3500000000004</v>
      </c>
      <c r="E161" s="105">
        <v>5202.3900000000003</v>
      </c>
      <c r="F161" s="105">
        <v>5202.3900000000003</v>
      </c>
      <c r="G161" s="106">
        <v>3278180000</v>
      </c>
      <c r="H161" s="107">
        <f t="shared" si="2"/>
        <v>-3.7468728023146413E-4</v>
      </c>
    </row>
    <row r="162" spans="1:8" ht="15">
      <c r="A162" s="109">
        <v>45387</v>
      </c>
      <c r="B162" s="105">
        <v>5158.95</v>
      </c>
      <c r="C162" s="105">
        <v>5222.18</v>
      </c>
      <c r="D162" s="105">
        <v>5157.21</v>
      </c>
      <c r="E162" s="105">
        <v>5204.34</v>
      </c>
      <c r="F162" s="105">
        <v>5204.34</v>
      </c>
      <c r="G162" s="106">
        <v>3386780000</v>
      </c>
      <c r="H162" s="107">
        <f t="shared" si="2"/>
        <v>1.1099216857287755E-2</v>
      </c>
    </row>
    <row r="163" spans="1:8" ht="15">
      <c r="A163" s="109">
        <v>45386</v>
      </c>
      <c r="B163" s="105">
        <v>5244.05</v>
      </c>
      <c r="C163" s="105">
        <v>5256.59</v>
      </c>
      <c r="D163" s="105">
        <v>5146.0600000000004</v>
      </c>
      <c r="E163" s="105">
        <v>5147.21</v>
      </c>
      <c r="F163" s="105">
        <v>5147.21</v>
      </c>
      <c r="G163" s="106">
        <v>4075680000</v>
      </c>
      <c r="H163" s="107">
        <f t="shared" si="2"/>
        <v>-1.2334284436888443E-2</v>
      </c>
    </row>
    <row r="164" spans="1:8" ht="15">
      <c r="A164" s="109">
        <v>45385</v>
      </c>
      <c r="B164" s="105">
        <v>5194.37</v>
      </c>
      <c r="C164" s="105">
        <v>5228.75</v>
      </c>
      <c r="D164" s="105">
        <v>5194.37</v>
      </c>
      <c r="E164" s="105">
        <v>5211.49</v>
      </c>
      <c r="F164" s="105">
        <v>5211.49</v>
      </c>
      <c r="G164" s="106">
        <v>3703250000</v>
      </c>
      <c r="H164" s="107">
        <f t="shared" si="2"/>
        <v>1.0910886106099496E-3</v>
      </c>
    </row>
    <row r="165" spans="1:8" ht="15">
      <c r="A165" s="109">
        <v>45384</v>
      </c>
      <c r="B165" s="105">
        <v>5204.29</v>
      </c>
      <c r="C165" s="105">
        <v>5208.34</v>
      </c>
      <c r="D165" s="105">
        <v>5184.05</v>
      </c>
      <c r="E165" s="105">
        <v>5205.8100000000004</v>
      </c>
      <c r="F165" s="105">
        <v>5205.8100000000004</v>
      </c>
      <c r="G165" s="106">
        <v>3886590000</v>
      </c>
      <c r="H165" s="107">
        <f t="shared" si="2"/>
        <v>-7.2390665494482089E-3</v>
      </c>
    </row>
    <row r="166" spans="1:8" ht="15">
      <c r="A166" s="109">
        <v>45383</v>
      </c>
      <c r="B166" s="105">
        <v>5257.97</v>
      </c>
      <c r="C166" s="105">
        <v>5263.95</v>
      </c>
      <c r="D166" s="105">
        <v>5229.2</v>
      </c>
      <c r="E166" s="105">
        <v>5243.77</v>
      </c>
      <c r="F166" s="105">
        <v>5243.77</v>
      </c>
      <c r="G166" s="106">
        <v>3325930000</v>
      </c>
      <c r="H166" s="107">
        <f t="shared" si="2"/>
        <v>-2.0135697089078432E-3</v>
      </c>
    </row>
    <row r="167" spans="1:8" ht="15">
      <c r="A167" s="109">
        <v>45379</v>
      </c>
      <c r="B167" s="105">
        <v>5248.03</v>
      </c>
      <c r="C167" s="105">
        <v>5264.85</v>
      </c>
      <c r="D167" s="105">
        <v>5245.82</v>
      </c>
      <c r="E167" s="105">
        <v>5254.35</v>
      </c>
      <c r="F167" s="105">
        <v>5254.35</v>
      </c>
      <c r="G167" s="106">
        <v>3998270000</v>
      </c>
      <c r="H167" s="107">
        <f t="shared" si="2"/>
        <v>1.1165116061954167E-3</v>
      </c>
    </row>
    <row r="168" spans="1:8" ht="15">
      <c r="A168" s="109">
        <v>45378</v>
      </c>
      <c r="B168" s="105">
        <v>5226.3100000000004</v>
      </c>
      <c r="C168" s="105">
        <v>5249.26</v>
      </c>
      <c r="D168" s="105">
        <v>5213.92</v>
      </c>
      <c r="E168" s="105">
        <v>5248.49</v>
      </c>
      <c r="F168" s="105">
        <v>5248.49</v>
      </c>
      <c r="G168" s="106">
        <v>3850500000</v>
      </c>
      <c r="H168" s="107">
        <f t="shared" si="2"/>
        <v>8.6305966277062818E-3</v>
      </c>
    </row>
    <row r="169" spans="1:8" ht="15">
      <c r="A169" s="109">
        <v>45377</v>
      </c>
      <c r="B169" s="105">
        <v>5228.8500000000004</v>
      </c>
      <c r="C169" s="105">
        <v>5235.16</v>
      </c>
      <c r="D169" s="105">
        <v>5203.42</v>
      </c>
      <c r="E169" s="105">
        <v>5203.58</v>
      </c>
      <c r="F169" s="105">
        <v>5203.58</v>
      </c>
      <c r="G169" s="106">
        <v>3871790000</v>
      </c>
      <c r="H169" s="107">
        <f t="shared" si="2"/>
        <v>-2.7998213940082046E-3</v>
      </c>
    </row>
    <row r="170" spans="1:8" ht="15">
      <c r="A170" s="109">
        <v>45376</v>
      </c>
      <c r="B170" s="105">
        <v>5219.5200000000004</v>
      </c>
      <c r="C170" s="105">
        <v>5229.09</v>
      </c>
      <c r="D170" s="105">
        <v>5216.09</v>
      </c>
      <c r="E170" s="105">
        <v>5218.1899999999996</v>
      </c>
      <c r="F170" s="105">
        <v>5218.1899999999996</v>
      </c>
      <c r="G170" s="106">
        <v>3331360000</v>
      </c>
      <c r="H170" s="107">
        <f t="shared" si="2"/>
        <v>-3.054919777310045E-3</v>
      </c>
    </row>
    <row r="171" spans="1:8" ht="15">
      <c r="A171" s="109">
        <v>45373</v>
      </c>
      <c r="B171" s="105">
        <v>5242.4799999999996</v>
      </c>
      <c r="C171" s="105">
        <v>5246.09</v>
      </c>
      <c r="D171" s="105">
        <v>5229.87</v>
      </c>
      <c r="E171" s="105">
        <v>5234.18</v>
      </c>
      <c r="F171" s="105">
        <v>5234.18</v>
      </c>
      <c r="G171" s="106">
        <v>3374700000</v>
      </c>
      <c r="H171" s="107">
        <f t="shared" si="2"/>
        <v>-1.4022623165372429E-3</v>
      </c>
    </row>
    <row r="172" spans="1:8" ht="15">
      <c r="A172" s="109">
        <v>45372</v>
      </c>
      <c r="B172" s="105">
        <v>5253.43</v>
      </c>
      <c r="C172" s="105">
        <v>5261.1</v>
      </c>
      <c r="D172" s="105">
        <v>5240.66</v>
      </c>
      <c r="E172" s="105">
        <v>5241.53</v>
      </c>
      <c r="F172" s="105">
        <v>5241.53</v>
      </c>
      <c r="G172" s="106">
        <v>4207730000</v>
      </c>
      <c r="H172" s="107">
        <f t="shared" si="2"/>
        <v>3.2365990253836363E-3</v>
      </c>
    </row>
    <row r="173" spans="1:8" ht="15">
      <c r="A173" s="109">
        <v>45371</v>
      </c>
      <c r="B173" s="105">
        <v>5181.6899999999996</v>
      </c>
      <c r="C173" s="105">
        <v>5226.1899999999996</v>
      </c>
      <c r="D173" s="105">
        <v>5171.55</v>
      </c>
      <c r="E173" s="105">
        <v>5224.62</v>
      </c>
      <c r="F173" s="105">
        <v>5224.62</v>
      </c>
      <c r="G173" s="106">
        <v>4064850000</v>
      </c>
      <c r="H173" s="107">
        <f t="shared" si="2"/>
        <v>8.9041056211148911E-3</v>
      </c>
    </row>
    <row r="174" spans="1:8" ht="15">
      <c r="A174" s="109">
        <v>45370</v>
      </c>
      <c r="B174" s="105">
        <v>5139.09</v>
      </c>
      <c r="C174" s="105">
        <v>5180.3100000000004</v>
      </c>
      <c r="D174" s="105">
        <v>5131.59</v>
      </c>
      <c r="E174" s="105">
        <v>5178.51</v>
      </c>
      <c r="F174" s="105">
        <v>5178.51</v>
      </c>
      <c r="G174" s="106">
        <v>4031760000</v>
      </c>
      <c r="H174" s="107">
        <f t="shared" si="2"/>
        <v>5.6491799076401122E-3</v>
      </c>
    </row>
    <row r="175" spans="1:8" ht="15">
      <c r="A175" s="109">
        <v>45369</v>
      </c>
      <c r="B175" s="105">
        <v>5154.7700000000004</v>
      </c>
      <c r="C175" s="105">
        <v>5175.6000000000004</v>
      </c>
      <c r="D175" s="105">
        <v>5145.47</v>
      </c>
      <c r="E175" s="105">
        <v>5149.42</v>
      </c>
      <c r="F175" s="105">
        <v>5149.42</v>
      </c>
      <c r="G175" s="106">
        <v>4036220000</v>
      </c>
      <c r="H175" s="107">
        <f t="shared" si="2"/>
        <v>6.3180440445643766E-3</v>
      </c>
    </row>
    <row r="176" spans="1:8" ht="15">
      <c r="A176" s="109">
        <v>45366</v>
      </c>
      <c r="B176" s="105">
        <v>5123.3100000000004</v>
      </c>
      <c r="C176" s="105">
        <v>5136.8599999999997</v>
      </c>
      <c r="D176" s="105">
        <v>5104.3500000000004</v>
      </c>
      <c r="E176" s="105">
        <v>5117.09</v>
      </c>
      <c r="F176" s="105">
        <v>5117.09</v>
      </c>
      <c r="G176" s="106">
        <v>7753670000</v>
      </c>
      <c r="H176" s="107">
        <f t="shared" si="2"/>
        <v>-6.4828909150214005E-3</v>
      </c>
    </row>
    <row r="177" spans="1:8" ht="15">
      <c r="A177" s="109">
        <v>45365</v>
      </c>
      <c r="B177" s="105">
        <v>5175.1400000000003</v>
      </c>
      <c r="C177" s="105">
        <v>5176.8500000000004</v>
      </c>
      <c r="D177" s="105">
        <v>5123.3</v>
      </c>
      <c r="E177" s="105">
        <v>5150.4799999999996</v>
      </c>
      <c r="F177" s="105">
        <v>5150.4799999999996</v>
      </c>
      <c r="G177" s="106">
        <v>4687970000</v>
      </c>
      <c r="H177" s="107">
        <f t="shared" si="2"/>
        <v>-2.8710764697570594E-3</v>
      </c>
    </row>
    <row r="178" spans="1:8" ht="15">
      <c r="A178" s="109">
        <v>45364</v>
      </c>
      <c r="B178" s="105">
        <v>5173.49</v>
      </c>
      <c r="C178" s="105">
        <v>5179.1400000000003</v>
      </c>
      <c r="D178" s="105">
        <v>5151.88</v>
      </c>
      <c r="E178" s="105">
        <v>5165.3100000000004</v>
      </c>
      <c r="F178" s="105">
        <v>5165.3100000000004</v>
      </c>
      <c r="G178" s="106">
        <v>4282890000</v>
      </c>
      <c r="H178" s="107">
        <f t="shared" si="2"/>
        <v>-1.9245372705192262E-3</v>
      </c>
    </row>
    <row r="179" spans="1:8" ht="15">
      <c r="A179" s="109">
        <v>45363</v>
      </c>
      <c r="B179" s="105">
        <v>5134.3</v>
      </c>
      <c r="C179" s="105">
        <v>5179.87</v>
      </c>
      <c r="D179" s="105">
        <v>5114.4799999999996</v>
      </c>
      <c r="E179" s="105">
        <v>5175.2700000000004</v>
      </c>
      <c r="F179" s="105">
        <v>5175.2700000000004</v>
      </c>
      <c r="G179" s="106">
        <v>4080510000</v>
      </c>
      <c r="H179" s="107">
        <f t="shared" si="2"/>
        <v>1.1201772588189943E-2</v>
      </c>
    </row>
    <row r="180" spans="1:8" ht="15">
      <c r="A180" s="109">
        <v>45362</v>
      </c>
      <c r="B180" s="105">
        <v>5111.96</v>
      </c>
      <c r="C180" s="105">
        <v>5124.66</v>
      </c>
      <c r="D180" s="105">
        <v>5091.1400000000003</v>
      </c>
      <c r="E180" s="105">
        <v>5117.9399999999996</v>
      </c>
      <c r="F180" s="105">
        <v>5117.9399999999996</v>
      </c>
      <c r="G180" s="106">
        <v>3896430000</v>
      </c>
      <c r="H180" s="107">
        <f t="shared" si="2"/>
        <v>-1.1222380745127048E-3</v>
      </c>
    </row>
    <row r="181" spans="1:8" ht="15">
      <c r="A181" s="109">
        <v>45359</v>
      </c>
      <c r="B181" s="105">
        <v>5164.46</v>
      </c>
      <c r="C181" s="105">
        <v>5189.26</v>
      </c>
      <c r="D181" s="105">
        <v>5117.5</v>
      </c>
      <c r="E181" s="105">
        <v>5123.6899999999996</v>
      </c>
      <c r="F181" s="105">
        <v>5123.6899999999996</v>
      </c>
      <c r="G181" s="106">
        <v>4208870000</v>
      </c>
      <c r="H181" s="107">
        <f t="shared" si="2"/>
        <v>-6.5285339786247372E-3</v>
      </c>
    </row>
    <row r="182" spans="1:8" ht="15">
      <c r="A182" s="109">
        <v>45358</v>
      </c>
      <c r="B182" s="105">
        <v>5132.38</v>
      </c>
      <c r="C182" s="105">
        <v>5165.62</v>
      </c>
      <c r="D182" s="105">
        <v>5128.21</v>
      </c>
      <c r="E182" s="105">
        <v>5157.3599999999997</v>
      </c>
      <c r="F182" s="105">
        <v>5157.3599999999997</v>
      </c>
      <c r="G182" s="106">
        <v>4137980000</v>
      </c>
      <c r="H182" s="107">
        <f t="shared" si="2"/>
        <v>1.0304108322428372E-2</v>
      </c>
    </row>
    <row r="183" spans="1:8" ht="15">
      <c r="A183" s="109">
        <v>45357</v>
      </c>
      <c r="B183" s="105">
        <v>5108.03</v>
      </c>
      <c r="C183" s="105">
        <v>5127.97</v>
      </c>
      <c r="D183" s="105">
        <v>5092.22</v>
      </c>
      <c r="E183" s="105">
        <v>5104.76</v>
      </c>
      <c r="F183" s="105">
        <v>5104.76</v>
      </c>
      <c r="G183" s="106">
        <v>4559050000</v>
      </c>
      <c r="H183" s="107">
        <f t="shared" si="2"/>
        <v>5.1411300247114064E-3</v>
      </c>
    </row>
    <row r="184" spans="1:8" ht="15">
      <c r="A184" s="109">
        <v>45356</v>
      </c>
      <c r="B184" s="105">
        <v>5110.5200000000004</v>
      </c>
      <c r="C184" s="105">
        <v>5114.54</v>
      </c>
      <c r="D184" s="105">
        <v>5056.82</v>
      </c>
      <c r="E184" s="105">
        <v>5078.6499999999996</v>
      </c>
      <c r="F184" s="105">
        <v>5078.6499999999996</v>
      </c>
      <c r="G184" s="106">
        <v>4418410000</v>
      </c>
      <c r="H184" s="107">
        <f t="shared" si="2"/>
        <v>-1.019304417310638E-2</v>
      </c>
    </row>
    <row r="185" spans="1:8" ht="15">
      <c r="A185" s="109">
        <v>45355</v>
      </c>
      <c r="B185" s="105">
        <v>5130.99</v>
      </c>
      <c r="C185" s="105">
        <v>5149.67</v>
      </c>
      <c r="D185" s="105">
        <v>5127.18</v>
      </c>
      <c r="E185" s="105">
        <v>5130.95</v>
      </c>
      <c r="F185" s="105">
        <v>5130.95</v>
      </c>
      <c r="G185" s="106">
        <v>4758440000</v>
      </c>
      <c r="H185" s="107">
        <f t="shared" si="2"/>
        <v>-1.1932849011500909E-3</v>
      </c>
    </row>
    <row r="186" spans="1:8" ht="15">
      <c r="A186" s="109">
        <v>45352</v>
      </c>
      <c r="B186" s="105">
        <v>5098.51</v>
      </c>
      <c r="C186" s="105">
        <v>5140.33</v>
      </c>
      <c r="D186" s="105">
        <v>5094.16</v>
      </c>
      <c r="E186" s="105">
        <v>5137.08</v>
      </c>
      <c r="F186" s="105">
        <v>5137.08</v>
      </c>
      <c r="G186" s="106">
        <v>4748110000</v>
      </c>
      <c r="H186" s="107">
        <f t="shared" si="2"/>
        <v>8.0078174821976641E-3</v>
      </c>
    </row>
    <row r="187" spans="1:8" ht="15">
      <c r="A187" s="109">
        <v>45351</v>
      </c>
      <c r="B187" s="105">
        <v>5085.3599999999997</v>
      </c>
      <c r="C187" s="105">
        <v>5104.99</v>
      </c>
      <c r="D187" s="105">
        <v>5061.8900000000003</v>
      </c>
      <c r="E187" s="105">
        <v>5096.2700000000004</v>
      </c>
      <c r="F187" s="105">
        <v>5096.2700000000004</v>
      </c>
      <c r="G187" s="106">
        <v>5219740000</v>
      </c>
      <c r="H187" s="107">
        <f t="shared" si="2"/>
        <v>5.2290443729092143E-3</v>
      </c>
    </row>
    <row r="188" spans="1:8" ht="15">
      <c r="A188" s="109">
        <v>45350</v>
      </c>
      <c r="B188" s="105">
        <v>5067.2</v>
      </c>
      <c r="C188" s="105">
        <v>5077.37</v>
      </c>
      <c r="D188" s="105">
        <v>5058.3500000000004</v>
      </c>
      <c r="E188" s="105">
        <v>5069.76</v>
      </c>
      <c r="F188" s="105">
        <v>5069.76</v>
      </c>
      <c r="G188" s="106">
        <v>3789370000</v>
      </c>
      <c r="H188" s="107">
        <f t="shared" si="2"/>
        <v>-1.6580743494716754E-3</v>
      </c>
    </row>
    <row r="189" spans="1:8" ht="15">
      <c r="A189" s="109">
        <v>45349</v>
      </c>
      <c r="B189" s="105">
        <v>5074.6000000000004</v>
      </c>
      <c r="C189" s="105">
        <v>5080.6899999999996</v>
      </c>
      <c r="D189" s="105">
        <v>5057.29</v>
      </c>
      <c r="E189" s="105">
        <v>5078.18</v>
      </c>
      <c r="F189" s="105">
        <v>5078.18</v>
      </c>
      <c r="G189" s="106">
        <v>3925950000</v>
      </c>
      <c r="H189" s="107">
        <f t="shared" si="2"/>
        <v>1.7062725735917425E-3</v>
      </c>
    </row>
    <row r="190" spans="1:8" ht="15">
      <c r="A190" s="109">
        <v>45348</v>
      </c>
      <c r="B190" s="105">
        <v>5093</v>
      </c>
      <c r="C190" s="105">
        <v>5097.66</v>
      </c>
      <c r="D190" s="105">
        <v>5068.91</v>
      </c>
      <c r="E190" s="105">
        <v>5069.53</v>
      </c>
      <c r="F190" s="105">
        <v>5069.53</v>
      </c>
      <c r="G190" s="106">
        <v>3683930000</v>
      </c>
      <c r="H190" s="107">
        <f t="shared" si="2"/>
        <v>-3.7867473667663174E-3</v>
      </c>
    </row>
    <row r="191" spans="1:8" ht="15">
      <c r="A191" s="109">
        <v>45345</v>
      </c>
      <c r="B191" s="105">
        <v>5100.92</v>
      </c>
      <c r="C191" s="105">
        <v>5111.0600000000004</v>
      </c>
      <c r="D191" s="105">
        <v>5081.46</v>
      </c>
      <c r="E191" s="105">
        <v>5088.8</v>
      </c>
      <c r="F191" s="105">
        <v>5088.8</v>
      </c>
      <c r="G191" s="106">
        <v>3672790000</v>
      </c>
      <c r="H191" s="107">
        <f t="shared" si="2"/>
        <v>3.4794369209547351E-4</v>
      </c>
    </row>
    <row r="192" spans="1:8" ht="15">
      <c r="A192" s="109">
        <v>45344</v>
      </c>
      <c r="B192" s="105">
        <v>5038.83</v>
      </c>
      <c r="C192" s="105">
        <v>5094.3900000000003</v>
      </c>
      <c r="D192" s="105">
        <v>5038.83</v>
      </c>
      <c r="E192" s="105">
        <v>5087.03</v>
      </c>
      <c r="F192" s="105">
        <v>5087.03</v>
      </c>
      <c r="G192" s="106">
        <v>4051710000</v>
      </c>
      <c r="H192" s="107">
        <f t="shared" si="2"/>
        <v>2.112288730980761E-2</v>
      </c>
    </row>
    <row r="193" spans="1:8" ht="15">
      <c r="A193" s="109">
        <v>45343</v>
      </c>
      <c r="B193" s="105">
        <v>4963.03</v>
      </c>
      <c r="C193" s="105">
        <v>4983.21</v>
      </c>
      <c r="D193" s="105">
        <v>4946</v>
      </c>
      <c r="E193" s="105">
        <v>4981.8</v>
      </c>
      <c r="F193" s="105">
        <v>4981.8</v>
      </c>
      <c r="G193" s="106">
        <v>3788390000</v>
      </c>
      <c r="H193" s="107">
        <f t="shared" si="2"/>
        <v>1.2641920124771056E-3</v>
      </c>
    </row>
    <row r="194" spans="1:8" ht="15">
      <c r="A194" s="109">
        <v>45342</v>
      </c>
      <c r="B194" s="105">
        <v>4989.32</v>
      </c>
      <c r="C194" s="105">
        <v>4993.71</v>
      </c>
      <c r="D194" s="105">
        <v>4955.0200000000004</v>
      </c>
      <c r="E194" s="105">
        <v>4975.51</v>
      </c>
      <c r="F194" s="105">
        <v>4975.51</v>
      </c>
      <c r="G194" s="106">
        <v>4034880000</v>
      </c>
      <c r="H194" s="107">
        <f t="shared" si="2"/>
        <v>-6.0053100845656919E-3</v>
      </c>
    </row>
    <row r="195" spans="1:8" ht="15">
      <c r="A195" s="109">
        <v>45338</v>
      </c>
      <c r="B195" s="105">
        <v>5031.13</v>
      </c>
      <c r="C195" s="105">
        <v>5038.7</v>
      </c>
      <c r="D195" s="105">
        <v>4999.5200000000004</v>
      </c>
      <c r="E195" s="105">
        <v>5005.57</v>
      </c>
      <c r="F195" s="105">
        <v>5005.57</v>
      </c>
      <c r="G195" s="106">
        <v>3833270000</v>
      </c>
      <c r="H195" s="107">
        <f t="shared" ref="H195:H258" si="3">(F195-F196)/F196</f>
        <v>-4.8034387531736009E-3</v>
      </c>
    </row>
    <row r="196" spans="1:8" ht="15">
      <c r="A196" s="109">
        <v>45337</v>
      </c>
      <c r="B196" s="105">
        <v>5003.1400000000003</v>
      </c>
      <c r="C196" s="105">
        <v>5032.72</v>
      </c>
      <c r="D196" s="105">
        <v>4999.4399999999996</v>
      </c>
      <c r="E196" s="105">
        <v>5029.7299999999996</v>
      </c>
      <c r="F196" s="105">
        <v>5029.7299999999996</v>
      </c>
      <c r="G196" s="106">
        <v>4137970000</v>
      </c>
      <c r="H196" s="107">
        <f t="shared" si="3"/>
        <v>5.8212781615079078E-3</v>
      </c>
    </row>
    <row r="197" spans="1:8" ht="15">
      <c r="A197" s="109">
        <v>45336</v>
      </c>
      <c r="B197" s="105">
        <v>4976.4399999999996</v>
      </c>
      <c r="C197" s="105">
        <v>5002.5200000000004</v>
      </c>
      <c r="D197" s="105">
        <v>4956.45</v>
      </c>
      <c r="E197" s="105">
        <v>5000.62</v>
      </c>
      <c r="F197" s="105">
        <v>5000.62</v>
      </c>
      <c r="G197" s="106">
        <v>3845600000</v>
      </c>
      <c r="H197" s="107">
        <f t="shared" si="3"/>
        <v>9.5797236921001741E-3</v>
      </c>
    </row>
    <row r="198" spans="1:8" ht="15">
      <c r="A198" s="109">
        <v>45335</v>
      </c>
      <c r="B198" s="105">
        <v>4967.9399999999996</v>
      </c>
      <c r="C198" s="105">
        <v>4971.3</v>
      </c>
      <c r="D198" s="105">
        <v>4920.3100000000004</v>
      </c>
      <c r="E198" s="105">
        <v>4953.17</v>
      </c>
      <c r="F198" s="105">
        <v>4953.17</v>
      </c>
      <c r="G198" s="106">
        <v>4302190000</v>
      </c>
      <c r="H198" s="107">
        <f t="shared" si="3"/>
        <v>-1.3674270785210215E-2</v>
      </c>
    </row>
    <row r="199" spans="1:8" ht="15">
      <c r="A199" s="109">
        <v>45334</v>
      </c>
      <c r="B199" s="105">
        <v>5026.83</v>
      </c>
      <c r="C199" s="105">
        <v>5048.3900000000003</v>
      </c>
      <c r="D199" s="105">
        <v>5016.83</v>
      </c>
      <c r="E199" s="105">
        <v>5021.84</v>
      </c>
      <c r="F199" s="105">
        <v>5021.84</v>
      </c>
      <c r="G199" s="106">
        <v>3805740000</v>
      </c>
      <c r="H199" s="107">
        <f t="shared" si="3"/>
        <v>-9.4894968975105037E-4</v>
      </c>
    </row>
    <row r="200" spans="1:8" ht="15">
      <c r="A200" s="109">
        <v>45331</v>
      </c>
      <c r="B200" s="105">
        <v>5004.17</v>
      </c>
      <c r="C200" s="105">
        <v>5030.0600000000004</v>
      </c>
      <c r="D200" s="105">
        <v>5000.34</v>
      </c>
      <c r="E200" s="105">
        <v>5026.6099999999997</v>
      </c>
      <c r="F200" s="105">
        <v>5026.6099999999997</v>
      </c>
      <c r="G200" s="106">
        <v>3912990000</v>
      </c>
      <c r="H200" s="107">
        <f t="shared" si="3"/>
        <v>5.7424003233351182E-3</v>
      </c>
    </row>
    <row r="201" spans="1:8" ht="15">
      <c r="A201" s="109">
        <v>45330</v>
      </c>
      <c r="B201" s="105">
        <v>4995.16</v>
      </c>
      <c r="C201" s="105">
        <v>5000.3999999999996</v>
      </c>
      <c r="D201" s="105">
        <v>4987.09</v>
      </c>
      <c r="E201" s="105">
        <v>4997.91</v>
      </c>
      <c r="F201" s="105">
        <v>4997.91</v>
      </c>
      <c r="G201" s="106">
        <v>4341860000</v>
      </c>
      <c r="H201" s="107">
        <f t="shared" si="3"/>
        <v>5.7056371695223961E-4</v>
      </c>
    </row>
    <row r="202" spans="1:8" ht="15">
      <c r="A202" s="109">
        <v>45329</v>
      </c>
      <c r="B202" s="105">
        <v>4973.05</v>
      </c>
      <c r="C202" s="105">
        <v>4999.8900000000003</v>
      </c>
      <c r="D202" s="105">
        <v>4969.05</v>
      </c>
      <c r="E202" s="105">
        <v>4995.0600000000004</v>
      </c>
      <c r="F202" s="105">
        <v>4995.0600000000004</v>
      </c>
      <c r="G202" s="106">
        <v>4895590000</v>
      </c>
      <c r="H202" s="107">
        <f t="shared" si="3"/>
        <v>8.2414421615469684E-3</v>
      </c>
    </row>
    <row r="203" spans="1:8" ht="15">
      <c r="A203" s="109">
        <v>45328</v>
      </c>
      <c r="B203" s="105">
        <v>4950.16</v>
      </c>
      <c r="C203" s="105">
        <v>4957.7700000000004</v>
      </c>
      <c r="D203" s="105">
        <v>4934.88</v>
      </c>
      <c r="E203" s="105">
        <v>4954.2299999999996</v>
      </c>
      <c r="F203" s="105">
        <v>4954.2299999999996</v>
      </c>
      <c r="G203" s="106">
        <v>4440880000</v>
      </c>
      <c r="H203" s="107">
        <f t="shared" si="3"/>
        <v>2.3104266601384968E-3</v>
      </c>
    </row>
    <row r="204" spans="1:8" ht="15">
      <c r="A204" s="109">
        <v>45327</v>
      </c>
      <c r="B204" s="105">
        <v>4957.1899999999996</v>
      </c>
      <c r="C204" s="105">
        <v>4957.1899999999996</v>
      </c>
      <c r="D204" s="105">
        <v>4918.09</v>
      </c>
      <c r="E204" s="105">
        <v>4942.8100000000004</v>
      </c>
      <c r="F204" s="105">
        <v>4942.8100000000004</v>
      </c>
      <c r="G204" s="106">
        <v>4023640000</v>
      </c>
      <c r="H204" s="107">
        <f t="shared" si="3"/>
        <v>-3.1863768273768804E-3</v>
      </c>
    </row>
    <row r="205" spans="1:8" ht="15">
      <c r="A205" s="109">
        <v>45324</v>
      </c>
      <c r="B205" s="105">
        <v>4916.0600000000004</v>
      </c>
      <c r="C205" s="105">
        <v>4975.29</v>
      </c>
      <c r="D205" s="105">
        <v>4907.99</v>
      </c>
      <c r="E205" s="105">
        <v>4958.6099999999997</v>
      </c>
      <c r="F205" s="105">
        <v>4958.6099999999997</v>
      </c>
      <c r="G205" s="106">
        <v>3974350000</v>
      </c>
      <c r="H205" s="107">
        <f t="shared" si="3"/>
        <v>1.0684461873673884E-2</v>
      </c>
    </row>
    <row r="206" spans="1:8" ht="15">
      <c r="A206" s="109">
        <v>45323</v>
      </c>
      <c r="B206" s="105">
        <v>4861.1099999999997</v>
      </c>
      <c r="C206" s="105">
        <v>4906.97</v>
      </c>
      <c r="D206" s="105">
        <v>4853.5200000000004</v>
      </c>
      <c r="E206" s="105">
        <v>4906.1899999999996</v>
      </c>
      <c r="F206" s="105">
        <v>4906.1899999999996</v>
      </c>
      <c r="G206" s="106">
        <v>4386090000</v>
      </c>
      <c r="H206" s="107">
        <f t="shared" si="3"/>
        <v>1.2493679898465627E-2</v>
      </c>
    </row>
    <row r="207" spans="1:8" ht="15">
      <c r="A207" s="109">
        <v>45322</v>
      </c>
      <c r="B207" s="105">
        <v>4899.1899999999996</v>
      </c>
      <c r="C207" s="105">
        <v>4906.75</v>
      </c>
      <c r="D207" s="105">
        <v>4845.1499999999996</v>
      </c>
      <c r="E207" s="105">
        <v>4845.6499999999996</v>
      </c>
      <c r="F207" s="105">
        <v>4845.6499999999996</v>
      </c>
      <c r="G207" s="106">
        <v>4696120000</v>
      </c>
      <c r="H207" s="107">
        <f t="shared" si="3"/>
        <v>-1.6105681862021621E-2</v>
      </c>
    </row>
    <row r="208" spans="1:8" ht="15">
      <c r="A208" s="109">
        <v>45321</v>
      </c>
      <c r="B208" s="105">
        <v>4925.8900000000003</v>
      </c>
      <c r="C208" s="105">
        <v>4931.09</v>
      </c>
      <c r="D208" s="105">
        <v>4916.2700000000004</v>
      </c>
      <c r="E208" s="105">
        <v>4924.97</v>
      </c>
      <c r="F208" s="105">
        <v>4924.97</v>
      </c>
      <c r="G208" s="106">
        <v>3836130000</v>
      </c>
      <c r="H208" s="107">
        <f t="shared" si="3"/>
        <v>-6.0065788272155578E-4</v>
      </c>
    </row>
    <row r="209" spans="1:8" ht="15">
      <c r="A209" s="109">
        <v>45320</v>
      </c>
      <c r="B209" s="105">
        <v>4892.95</v>
      </c>
      <c r="C209" s="105">
        <v>4929.3100000000004</v>
      </c>
      <c r="D209" s="105">
        <v>4887.3999999999996</v>
      </c>
      <c r="E209" s="105">
        <v>4927.93</v>
      </c>
      <c r="F209" s="105">
        <v>4927.93</v>
      </c>
      <c r="G209" s="106">
        <v>3525160000</v>
      </c>
      <c r="H209" s="107">
        <f t="shared" si="3"/>
        <v>7.5567832147815329E-3</v>
      </c>
    </row>
    <row r="210" spans="1:8" ht="15">
      <c r="A210" s="109">
        <v>45317</v>
      </c>
      <c r="B210" s="105">
        <v>4888.91</v>
      </c>
      <c r="C210" s="105">
        <v>4906.6899999999996</v>
      </c>
      <c r="D210" s="105">
        <v>4881.47</v>
      </c>
      <c r="E210" s="105">
        <v>4890.97</v>
      </c>
      <c r="F210" s="105">
        <v>4890.97</v>
      </c>
      <c r="G210" s="106">
        <v>3353400000</v>
      </c>
      <c r="H210" s="107">
        <f t="shared" si="3"/>
        <v>-6.5179724406222927E-4</v>
      </c>
    </row>
    <row r="211" spans="1:8" ht="15">
      <c r="A211" s="109">
        <v>45316</v>
      </c>
      <c r="B211" s="105">
        <v>4886.66</v>
      </c>
      <c r="C211" s="105">
        <v>4898.1499999999996</v>
      </c>
      <c r="D211" s="105">
        <v>4869.34</v>
      </c>
      <c r="E211" s="105">
        <v>4894.16</v>
      </c>
      <c r="F211" s="105">
        <v>4894.16</v>
      </c>
      <c r="G211" s="106">
        <v>4020430000</v>
      </c>
      <c r="H211" s="107">
        <f t="shared" si="3"/>
        <v>5.2602931057501049E-3</v>
      </c>
    </row>
    <row r="212" spans="1:8" ht="15">
      <c r="A212" s="109">
        <v>45315</v>
      </c>
      <c r="B212" s="105">
        <v>4888.5600000000004</v>
      </c>
      <c r="C212" s="105">
        <v>4903.68</v>
      </c>
      <c r="D212" s="105">
        <v>4865.9399999999996</v>
      </c>
      <c r="E212" s="105">
        <v>4868.55</v>
      </c>
      <c r="F212" s="105">
        <v>4868.55</v>
      </c>
      <c r="G212" s="106">
        <v>4330030000</v>
      </c>
      <c r="H212" s="107">
        <f t="shared" si="3"/>
        <v>8.119886527154993E-4</v>
      </c>
    </row>
    <row r="213" spans="1:8" ht="15">
      <c r="A213" s="109">
        <v>45314</v>
      </c>
      <c r="B213" s="105">
        <v>4856.8</v>
      </c>
      <c r="C213" s="105">
        <v>4866.4799999999996</v>
      </c>
      <c r="D213" s="105">
        <v>4844.37</v>
      </c>
      <c r="E213" s="105">
        <v>4864.6000000000004</v>
      </c>
      <c r="F213" s="105">
        <v>4864.6000000000004</v>
      </c>
      <c r="G213" s="106">
        <v>3912800000</v>
      </c>
      <c r="H213" s="107">
        <f t="shared" si="3"/>
        <v>2.9213904746589626E-3</v>
      </c>
    </row>
    <row r="214" spans="1:8" ht="15">
      <c r="A214" s="109">
        <v>45313</v>
      </c>
      <c r="B214" s="105">
        <v>4853.42</v>
      </c>
      <c r="C214" s="105">
        <v>4868.41</v>
      </c>
      <c r="D214" s="105">
        <v>4844.05</v>
      </c>
      <c r="E214" s="105">
        <v>4850.43</v>
      </c>
      <c r="F214" s="105">
        <v>4850.43</v>
      </c>
      <c r="G214" s="106">
        <v>4297610000</v>
      </c>
      <c r="H214" s="107">
        <f t="shared" si="3"/>
        <v>2.1943010159489506E-3</v>
      </c>
    </row>
    <row r="215" spans="1:8" ht="15">
      <c r="A215" s="109">
        <v>45310</v>
      </c>
      <c r="B215" s="105">
        <v>4796.28</v>
      </c>
      <c r="C215" s="105">
        <v>4842.07</v>
      </c>
      <c r="D215" s="105">
        <v>4785.87</v>
      </c>
      <c r="E215" s="105">
        <v>4839.8100000000004</v>
      </c>
      <c r="F215" s="105">
        <v>4839.8100000000004</v>
      </c>
      <c r="G215" s="106">
        <v>4287200000</v>
      </c>
      <c r="H215" s="107">
        <f t="shared" si="3"/>
        <v>1.2313478102632705E-2</v>
      </c>
    </row>
    <row r="216" spans="1:8" ht="15">
      <c r="A216" s="109">
        <v>45309</v>
      </c>
      <c r="B216" s="105">
        <v>4760.1000000000004</v>
      </c>
      <c r="C216" s="105">
        <v>4785.79</v>
      </c>
      <c r="D216" s="105">
        <v>4740.57</v>
      </c>
      <c r="E216" s="105">
        <v>4780.9399999999996</v>
      </c>
      <c r="F216" s="105">
        <v>4780.9399999999996</v>
      </c>
      <c r="G216" s="106">
        <v>4019000000</v>
      </c>
      <c r="H216" s="107">
        <f t="shared" si="3"/>
        <v>8.8052650125230916E-3</v>
      </c>
    </row>
    <row r="217" spans="1:8" ht="15">
      <c r="A217" s="109">
        <v>45308</v>
      </c>
      <c r="B217" s="105">
        <v>4739.13</v>
      </c>
      <c r="C217" s="105">
        <v>4744.2299999999996</v>
      </c>
      <c r="D217" s="105">
        <v>4714.82</v>
      </c>
      <c r="E217" s="105">
        <v>4739.21</v>
      </c>
      <c r="F217" s="105">
        <v>4739.21</v>
      </c>
      <c r="G217" s="106">
        <v>3928600000</v>
      </c>
      <c r="H217" s="107">
        <f t="shared" si="3"/>
        <v>-5.6168930629166575E-3</v>
      </c>
    </row>
    <row r="218" spans="1:8" ht="15">
      <c r="A218" s="109">
        <v>45307</v>
      </c>
      <c r="B218" s="105">
        <v>4772.3500000000004</v>
      </c>
      <c r="C218" s="105">
        <v>4782.34</v>
      </c>
      <c r="D218" s="105">
        <v>4747.12</v>
      </c>
      <c r="E218" s="105">
        <v>4765.9799999999996</v>
      </c>
      <c r="F218" s="105">
        <v>4765.9799999999996</v>
      </c>
      <c r="G218" s="106">
        <v>4260550000</v>
      </c>
      <c r="H218" s="107">
        <f t="shared" si="3"/>
        <v>-3.7313198838588254E-3</v>
      </c>
    </row>
    <row r="219" spans="1:8" ht="15">
      <c r="A219" s="109">
        <v>45303</v>
      </c>
      <c r="B219" s="105">
        <v>4791.18</v>
      </c>
      <c r="C219" s="105">
        <v>4802.3999999999996</v>
      </c>
      <c r="D219" s="105">
        <v>4768.9799999999996</v>
      </c>
      <c r="E219" s="105">
        <v>4783.83</v>
      </c>
      <c r="F219" s="105">
        <v>4783.83</v>
      </c>
      <c r="G219" s="106">
        <v>3486340000</v>
      </c>
      <c r="H219" s="107">
        <f t="shared" si="3"/>
        <v>7.5100831757404351E-4</v>
      </c>
    </row>
    <row r="220" spans="1:8" ht="15">
      <c r="A220" s="109">
        <v>45302</v>
      </c>
      <c r="B220" s="105">
        <v>4792.13</v>
      </c>
      <c r="C220" s="105">
        <v>4798.5</v>
      </c>
      <c r="D220" s="105">
        <v>4739.58</v>
      </c>
      <c r="E220" s="105">
        <v>4780.24</v>
      </c>
      <c r="F220" s="105">
        <v>4780.24</v>
      </c>
      <c r="G220" s="106">
        <v>3759890000</v>
      </c>
      <c r="H220" s="107">
        <f t="shared" si="3"/>
        <v>-6.7106377196375763E-4</v>
      </c>
    </row>
    <row r="221" spans="1:8" ht="15">
      <c r="A221" s="109">
        <v>45301</v>
      </c>
      <c r="B221" s="105">
        <v>4759.9399999999996</v>
      </c>
      <c r="C221" s="105">
        <v>4790.8</v>
      </c>
      <c r="D221" s="105">
        <v>4756.2</v>
      </c>
      <c r="E221" s="105">
        <v>4783.45</v>
      </c>
      <c r="F221" s="105">
        <v>4783.45</v>
      </c>
      <c r="G221" s="106">
        <v>3498680000</v>
      </c>
      <c r="H221" s="107">
        <f t="shared" si="3"/>
        <v>5.6659308314937068E-3</v>
      </c>
    </row>
    <row r="222" spans="1:8" ht="15">
      <c r="A222" s="109">
        <v>45300</v>
      </c>
      <c r="B222" s="105">
        <v>4741.93</v>
      </c>
      <c r="C222" s="105">
        <v>4765.47</v>
      </c>
      <c r="D222" s="105">
        <v>4730.3500000000004</v>
      </c>
      <c r="E222" s="105">
        <v>4756.5</v>
      </c>
      <c r="F222" s="105">
        <v>4756.5</v>
      </c>
      <c r="G222" s="106">
        <v>3529960000</v>
      </c>
      <c r="H222" s="107">
        <f t="shared" si="3"/>
        <v>-1.4778924917183364E-3</v>
      </c>
    </row>
    <row r="223" spans="1:8" ht="15">
      <c r="A223" s="109">
        <v>45299</v>
      </c>
      <c r="B223" s="105">
        <v>4703.7</v>
      </c>
      <c r="C223" s="105">
        <v>4764.54</v>
      </c>
      <c r="D223" s="105">
        <v>4699.82</v>
      </c>
      <c r="E223" s="105">
        <v>4763.54</v>
      </c>
      <c r="F223" s="105">
        <v>4763.54</v>
      </c>
      <c r="G223" s="106">
        <v>3742320000</v>
      </c>
      <c r="H223" s="107">
        <f t="shared" si="3"/>
        <v>1.4114671594383123E-2</v>
      </c>
    </row>
    <row r="224" spans="1:8" ht="15">
      <c r="A224" s="109">
        <v>45296</v>
      </c>
      <c r="B224" s="105">
        <v>4690.57</v>
      </c>
      <c r="C224" s="105">
        <v>4721.49</v>
      </c>
      <c r="D224" s="105">
        <v>4682.1099999999997</v>
      </c>
      <c r="E224" s="105">
        <v>4697.24</v>
      </c>
      <c r="F224" s="105">
        <v>4697.24</v>
      </c>
      <c r="G224" s="106">
        <v>3844370000</v>
      </c>
      <c r="H224" s="107">
        <f t="shared" si="3"/>
        <v>1.8256737503944587E-3</v>
      </c>
    </row>
    <row r="225" spans="1:8" ht="15">
      <c r="A225" s="109">
        <v>45295</v>
      </c>
      <c r="B225" s="105">
        <v>4697.42</v>
      </c>
      <c r="C225" s="105">
        <v>4726.78</v>
      </c>
      <c r="D225" s="105">
        <v>4687.53</v>
      </c>
      <c r="E225" s="105">
        <v>4688.68</v>
      </c>
      <c r="F225" s="105">
        <v>4688.68</v>
      </c>
      <c r="G225" s="106">
        <v>3715480000</v>
      </c>
      <c r="H225" s="107">
        <f t="shared" si="3"/>
        <v>-3.4284062480738025E-3</v>
      </c>
    </row>
    <row r="226" spans="1:8" ht="15">
      <c r="A226" s="109">
        <v>45294</v>
      </c>
      <c r="B226" s="105">
        <v>4725.07</v>
      </c>
      <c r="C226" s="105">
        <v>4729.29</v>
      </c>
      <c r="D226" s="105">
        <v>4699.71</v>
      </c>
      <c r="E226" s="105">
        <v>4704.8100000000004</v>
      </c>
      <c r="F226" s="105">
        <v>4704.8100000000004</v>
      </c>
      <c r="G226" s="106">
        <v>3950760000</v>
      </c>
      <c r="H226" s="107">
        <f t="shared" si="3"/>
        <v>-8.0163109367191159E-3</v>
      </c>
    </row>
    <row r="227" spans="1:8" ht="15">
      <c r="A227" s="109">
        <v>45293</v>
      </c>
      <c r="B227" s="105">
        <v>4745.2</v>
      </c>
      <c r="C227" s="105">
        <v>4754.33</v>
      </c>
      <c r="D227" s="105">
        <v>4722.67</v>
      </c>
      <c r="E227" s="105">
        <v>4742.83</v>
      </c>
      <c r="F227" s="105">
        <v>4742.83</v>
      </c>
      <c r="G227" s="106">
        <v>3743050000</v>
      </c>
      <c r="H227" s="107">
        <f t="shared" si="3"/>
        <v>-5.6605790982068548E-3</v>
      </c>
    </row>
    <row r="228" spans="1:8" ht="15">
      <c r="A228" s="109">
        <v>45289</v>
      </c>
      <c r="B228" s="105">
        <v>4782.88</v>
      </c>
      <c r="C228" s="105">
        <v>4788.43</v>
      </c>
      <c r="D228" s="105">
        <v>4751.99</v>
      </c>
      <c r="E228" s="105">
        <v>4769.83</v>
      </c>
      <c r="F228" s="105">
        <v>4769.83</v>
      </c>
      <c r="G228" s="106">
        <v>3126060000</v>
      </c>
      <c r="H228" s="107">
        <f t="shared" si="3"/>
        <v>-2.8264709879060566E-3</v>
      </c>
    </row>
    <row r="229" spans="1:8" ht="15">
      <c r="A229" s="109">
        <v>45288</v>
      </c>
      <c r="B229" s="105">
        <v>4786.4399999999996</v>
      </c>
      <c r="C229" s="105">
        <v>4793.3</v>
      </c>
      <c r="D229" s="105">
        <v>4780.9799999999996</v>
      </c>
      <c r="E229" s="105">
        <v>4783.3500000000004</v>
      </c>
      <c r="F229" s="105">
        <v>4783.3500000000004</v>
      </c>
      <c r="G229" s="106">
        <v>2698860000</v>
      </c>
      <c r="H229" s="107">
        <f t="shared" si="3"/>
        <v>3.7017052940668913E-4</v>
      </c>
    </row>
    <row r="230" spans="1:8" ht="15">
      <c r="A230" s="109">
        <v>45287</v>
      </c>
      <c r="B230" s="105">
        <v>4773.45</v>
      </c>
      <c r="C230" s="105">
        <v>4785.3900000000003</v>
      </c>
      <c r="D230" s="105">
        <v>4768.8999999999996</v>
      </c>
      <c r="E230" s="105">
        <v>4781.58</v>
      </c>
      <c r="F230" s="105">
        <v>4781.58</v>
      </c>
      <c r="G230" s="106">
        <v>2748450000</v>
      </c>
      <c r="H230" s="107">
        <f t="shared" si="3"/>
        <v>1.4304413843656584E-3</v>
      </c>
    </row>
    <row r="231" spans="1:8" ht="15">
      <c r="A231" s="109">
        <v>45286</v>
      </c>
      <c r="B231" s="105">
        <v>4758.8599999999997</v>
      </c>
      <c r="C231" s="105">
        <v>4784.72</v>
      </c>
      <c r="D231" s="105">
        <v>4758.45</v>
      </c>
      <c r="E231" s="105">
        <v>4774.75</v>
      </c>
      <c r="F231" s="105">
        <v>4774.75</v>
      </c>
      <c r="G231" s="106">
        <v>2513910000</v>
      </c>
      <c r="H231" s="107">
        <f t="shared" si="3"/>
        <v>4.2316647141838358E-3</v>
      </c>
    </row>
    <row r="232" spans="1:8" ht="15">
      <c r="A232" s="109">
        <v>45282</v>
      </c>
      <c r="B232" s="105">
        <v>4753.92</v>
      </c>
      <c r="C232" s="105">
        <v>4772.9399999999996</v>
      </c>
      <c r="D232" s="105">
        <v>4736.7700000000004</v>
      </c>
      <c r="E232" s="105">
        <v>4754.63</v>
      </c>
      <c r="F232" s="105">
        <v>4754.63</v>
      </c>
      <c r="G232" s="106">
        <v>3046770000</v>
      </c>
      <c r="H232" s="107">
        <f t="shared" si="3"/>
        <v>1.6600832148312233E-3</v>
      </c>
    </row>
    <row r="233" spans="1:8" ht="15">
      <c r="A233" s="109">
        <v>45281</v>
      </c>
      <c r="B233" s="105">
        <v>4724.29</v>
      </c>
      <c r="C233" s="105">
        <v>4748.71</v>
      </c>
      <c r="D233" s="105">
        <v>4708.3500000000004</v>
      </c>
      <c r="E233" s="105">
        <v>4746.75</v>
      </c>
      <c r="F233" s="105">
        <v>4746.75</v>
      </c>
      <c r="G233" s="106">
        <v>3431180000</v>
      </c>
      <c r="H233" s="107">
        <f t="shared" si="3"/>
        <v>1.0301488820543304E-2</v>
      </c>
    </row>
    <row r="234" spans="1:8" ht="15">
      <c r="A234" s="109">
        <v>45280</v>
      </c>
      <c r="B234" s="105">
        <v>4764.7299999999996</v>
      </c>
      <c r="C234" s="105">
        <v>4778.01</v>
      </c>
      <c r="D234" s="105">
        <v>4697.82</v>
      </c>
      <c r="E234" s="105">
        <v>4698.3500000000004</v>
      </c>
      <c r="F234" s="105">
        <v>4698.3500000000004</v>
      </c>
      <c r="G234" s="106">
        <v>4201320000</v>
      </c>
      <c r="H234" s="107">
        <f t="shared" si="3"/>
        <v>-1.4684263175886001E-2</v>
      </c>
    </row>
    <row r="235" spans="1:8" ht="15">
      <c r="A235" s="109">
        <v>45279</v>
      </c>
      <c r="B235" s="105">
        <v>4743.72</v>
      </c>
      <c r="C235" s="105">
        <v>4768.6899999999996</v>
      </c>
      <c r="D235" s="105">
        <v>4743.72</v>
      </c>
      <c r="E235" s="105">
        <v>4768.37</v>
      </c>
      <c r="F235" s="105">
        <v>4768.37</v>
      </c>
      <c r="G235" s="106">
        <v>4026970000</v>
      </c>
      <c r="H235" s="107">
        <f t="shared" si="3"/>
        <v>5.8663955313295237E-3</v>
      </c>
    </row>
    <row r="236" spans="1:8" ht="15">
      <c r="A236" s="109">
        <v>45278</v>
      </c>
      <c r="B236" s="105">
        <v>4725.58</v>
      </c>
      <c r="C236" s="105">
        <v>4749.5200000000004</v>
      </c>
      <c r="D236" s="105">
        <v>4725.58</v>
      </c>
      <c r="E236" s="105">
        <v>4740.5600000000004</v>
      </c>
      <c r="F236" s="105">
        <v>4740.5600000000004</v>
      </c>
      <c r="G236" s="106">
        <v>4060340000</v>
      </c>
      <c r="H236" s="107">
        <f t="shared" si="3"/>
        <v>4.5283194785547525E-3</v>
      </c>
    </row>
    <row r="237" spans="1:8" ht="15">
      <c r="A237" s="109">
        <v>45275</v>
      </c>
      <c r="B237" s="105">
        <v>4714.2299999999996</v>
      </c>
      <c r="C237" s="105">
        <v>4725.53</v>
      </c>
      <c r="D237" s="105">
        <v>4704.6899999999996</v>
      </c>
      <c r="E237" s="105">
        <v>4719.1899999999996</v>
      </c>
      <c r="F237" s="105">
        <v>4719.1899999999996</v>
      </c>
      <c r="G237" s="106">
        <v>8218980000</v>
      </c>
      <c r="H237" s="107">
        <f t="shared" si="3"/>
        <v>-7.6278458751487336E-5</v>
      </c>
    </row>
    <row r="238" spans="1:8" ht="15">
      <c r="A238" s="109">
        <v>45274</v>
      </c>
      <c r="B238" s="105">
        <v>4721.04</v>
      </c>
      <c r="C238" s="105">
        <v>4738.57</v>
      </c>
      <c r="D238" s="105">
        <v>4694.34</v>
      </c>
      <c r="E238" s="105">
        <v>4719.55</v>
      </c>
      <c r="F238" s="105">
        <v>4719.55</v>
      </c>
      <c r="G238" s="106">
        <v>6314040000</v>
      </c>
      <c r="H238" s="107">
        <f t="shared" si="3"/>
        <v>2.6470706954827795E-3</v>
      </c>
    </row>
    <row r="239" spans="1:8" ht="15">
      <c r="A239" s="109">
        <v>45273</v>
      </c>
      <c r="B239" s="105">
        <v>4646.2</v>
      </c>
      <c r="C239" s="105">
        <v>4709.6899999999996</v>
      </c>
      <c r="D239" s="105">
        <v>4643.2299999999996</v>
      </c>
      <c r="E239" s="105">
        <v>4707.09</v>
      </c>
      <c r="F239" s="105">
        <v>4707.09</v>
      </c>
      <c r="G239" s="106">
        <v>5063650000</v>
      </c>
      <c r="H239" s="107">
        <f t="shared" si="3"/>
        <v>1.3650752632599076E-2</v>
      </c>
    </row>
    <row r="240" spans="1:8" ht="15">
      <c r="A240" s="109">
        <v>45272</v>
      </c>
      <c r="B240" s="105">
        <v>4618.3</v>
      </c>
      <c r="C240" s="105">
        <v>4643.93</v>
      </c>
      <c r="D240" s="105">
        <v>4608.09</v>
      </c>
      <c r="E240" s="105">
        <v>4643.7</v>
      </c>
      <c r="F240" s="105">
        <v>4643.7</v>
      </c>
      <c r="G240" s="106">
        <v>3808380000</v>
      </c>
      <c r="H240" s="107">
        <f t="shared" si="3"/>
        <v>4.5993025328614802E-3</v>
      </c>
    </row>
    <row r="241" spans="1:8" ht="15">
      <c r="A241" s="109">
        <v>45271</v>
      </c>
      <c r="B241" s="105">
        <v>4593.3900000000003</v>
      </c>
      <c r="C241" s="105">
        <v>4623.71</v>
      </c>
      <c r="D241" s="105">
        <v>4593.3900000000003</v>
      </c>
      <c r="E241" s="105">
        <v>4622.4399999999996</v>
      </c>
      <c r="F241" s="105">
        <v>4622.4399999999996</v>
      </c>
      <c r="G241" s="106">
        <v>3823210000</v>
      </c>
      <c r="H241" s="107">
        <f t="shared" si="3"/>
        <v>3.9245325636297059E-3</v>
      </c>
    </row>
    <row r="242" spans="1:8" ht="15">
      <c r="A242" s="109">
        <v>45268</v>
      </c>
      <c r="B242" s="105">
        <v>4576.2</v>
      </c>
      <c r="C242" s="105">
        <v>4609.2299999999996</v>
      </c>
      <c r="D242" s="105">
        <v>4574.0600000000004</v>
      </c>
      <c r="E242" s="105">
        <v>4604.37</v>
      </c>
      <c r="F242" s="105">
        <v>4604.37</v>
      </c>
      <c r="G242" s="106">
        <v>3707010000</v>
      </c>
      <c r="H242" s="107">
        <f t="shared" si="3"/>
        <v>4.0954381006587468E-3</v>
      </c>
    </row>
    <row r="243" spans="1:8" ht="15">
      <c r="A243" s="109">
        <v>45267</v>
      </c>
      <c r="B243" s="105">
        <v>4568.84</v>
      </c>
      <c r="C243" s="105">
        <v>4590.92</v>
      </c>
      <c r="D243" s="105">
        <v>4565.22</v>
      </c>
      <c r="E243" s="105">
        <v>4585.59</v>
      </c>
      <c r="F243" s="105">
        <v>4585.59</v>
      </c>
      <c r="G243" s="106">
        <v>3818880000</v>
      </c>
      <c r="H243" s="107">
        <f t="shared" si="3"/>
        <v>7.9681887922204101E-3</v>
      </c>
    </row>
    <row r="244" spans="1:8" ht="15">
      <c r="A244" s="109">
        <v>45266</v>
      </c>
      <c r="B244" s="105">
        <v>4586.2299999999996</v>
      </c>
      <c r="C244" s="105">
        <v>4590.74</v>
      </c>
      <c r="D244" s="105">
        <v>4546.5</v>
      </c>
      <c r="E244" s="105">
        <v>4549.34</v>
      </c>
      <c r="F244" s="105">
        <v>4549.34</v>
      </c>
      <c r="G244" s="106">
        <v>4245680000</v>
      </c>
      <c r="H244" s="107">
        <f t="shared" si="3"/>
        <v>-3.9061302598102426E-3</v>
      </c>
    </row>
    <row r="245" spans="1:8" ht="15">
      <c r="A245" s="109">
        <v>45265</v>
      </c>
      <c r="B245" s="105">
        <v>4557.25</v>
      </c>
      <c r="C245" s="105">
        <v>4578.5600000000004</v>
      </c>
      <c r="D245" s="105">
        <v>4551.68</v>
      </c>
      <c r="E245" s="105">
        <v>4567.18</v>
      </c>
      <c r="F245" s="105">
        <v>4567.18</v>
      </c>
      <c r="G245" s="106">
        <v>3909950000</v>
      </c>
      <c r="H245" s="107">
        <f t="shared" si="3"/>
        <v>-5.68955179461474E-4</v>
      </c>
    </row>
    <row r="246" spans="1:8" ht="15">
      <c r="A246" s="109">
        <v>45264</v>
      </c>
      <c r="B246" s="105">
        <v>4564.37</v>
      </c>
      <c r="C246" s="105">
        <v>4572.37</v>
      </c>
      <c r="D246" s="105">
        <v>4546.72</v>
      </c>
      <c r="E246" s="105">
        <v>4569.78</v>
      </c>
      <c r="F246" s="105">
        <v>4569.78</v>
      </c>
      <c r="G246" s="106">
        <v>4369910000</v>
      </c>
      <c r="H246" s="107">
        <f t="shared" si="3"/>
        <v>-5.4084877345945952E-3</v>
      </c>
    </row>
    <row r="247" spans="1:8" ht="15">
      <c r="A247" s="109">
        <v>45261</v>
      </c>
      <c r="B247" s="105">
        <v>4559.43</v>
      </c>
      <c r="C247" s="105">
        <v>4599.3900000000003</v>
      </c>
      <c r="D247" s="105">
        <v>4554.71</v>
      </c>
      <c r="E247" s="105">
        <v>4594.63</v>
      </c>
      <c r="F247" s="105">
        <v>4594.63</v>
      </c>
      <c r="G247" s="106">
        <v>4397120000</v>
      </c>
      <c r="H247" s="107">
        <f t="shared" si="3"/>
        <v>5.873724769035406E-3</v>
      </c>
    </row>
    <row r="248" spans="1:8" ht="15">
      <c r="A248" s="109">
        <v>45260</v>
      </c>
      <c r="B248" s="105">
        <v>4554.87</v>
      </c>
      <c r="C248" s="105">
        <v>4569.8900000000003</v>
      </c>
      <c r="D248" s="105">
        <v>4537.24</v>
      </c>
      <c r="E248" s="105">
        <v>4567.8</v>
      </c>
      <c r="F248" s="105">
        <v>4567.8</v>
      </c>
      <c r="G248" s="106">
        <v>5399300000</v>
      </c>
      <c r="H248" s="107">
        <f t="shared" si="3"/>
        <v>3.7841330116161575E-3</v>
      </c>
    </row>
    <row r="249" spans="1:8" ht="15">
      <c r="A249" s="109">
        <v>45259</v>
      </c>
      <c r="B249" s="105">
        <v>4571.84</v>
      </c>
      <c r="C249" s="105">
        <v>4587.6400000000003</v>
      </c>
      <c r="D249" s="105">
        <v>4547.1499999999996</v>
      </c>
      <c r="E249" s="105">
        <v>4550.58</v>
      </c>
      <c r="F249" s="105">
        <v>4550.58</v>
      </c>
      <c r="G249" s="106">
        <v>4418760000</v>
      </c>
      <c r="H249" s="107">
        <f t="shared" si="3"/>
        <v>-9.4623580371872864E-4</v>
      </c>
    </row>
    <row r="250" spans="1:8" ht="15">
      <c r="A250" s="109">
        <v>45258</v>
      </c>
      <c r="B250" s="105">
        <v>4545.55</v>
      </c>
      <c r="C250" s="105">
        <v>4568.1400000000003</v>
      </c>
      <c r="D250" s="105">
        <v>4540.51</v>
      </c>
      <c r="E250" s="105">
        <v>4554.8900000000003</v>
      </c>
      <c r="F250" s="105">
        <v>4554.8900000000003</v>
      </c>
      <c r="G250" s="106">
        <v>3586240000</v>
      </c>
      <c r="H250" s="107">
        <f t="shared" si="3"/>
        <v>9.8012715281853269E-4</v>
      </c>
    </row>
    <row r="251" spans="1:8" ht="15">
      <c r="A251" s="109">
        <v>45257</v>
      </c>
      <c r="B251" s="105">
        <v>4554.8599999999997</v>
      </c>
      <c r="C251" s="105">
        <v>4560.5200000000004</v>
      </c>
      <c r="D251" s="105">
        <v>4546.32</v>
      </c>
      <c r="E251" s="105">
        <v>4550.43</v>
      </c>
      <c r="F251" s="105">
        <v>4550.43</v>
      </c>
      <c r="G251" s="106">
        <v>3403990000</v>
      </c>
      <c r="H251" s="107">
        <f t="shared" si="3"/>
        <v>-1.9542302175314529E-3</v>
      </c>
    </row>
    <row r="252" spans="1:8" ht="15">
      <c r="A252" s="109">
        <v>45254</v>
      </c>
      <c r="B252" s="105">
        <v>4555.84</v>
      </c>
      <c r="C252" s="105">
        <v>4560.3100000000004</v>
      </c>
      <c r="D252" s="105">
        <v>4552.8</v>
      </c>
      <c r="E252" s="105">
        <v>4559.34</v>
      </c>
      <c r="F252" s="105">
        <v>4559.34</v>
      </c>
      <c r="G252" s="106">
        <v>1639500000</v>
      </c>
      <c r="H252" s="107">
        <f t="shared" si="3"/>
        <v>5.969336920788336E-4</v>
      </c>
    </row>
    <row r="253" spans="1:8" ht="15">
      <c r="A253" s="109">
        <v>45252</v>
      </c>
      <c r="B253" s="105">
        <v>4553.04</v>
      </c>
      <c r="C253" s="105">
        <v>4568.43</v>
      </c>
      <c r="D253" s="105">
        <v>4545.05</v>
      </c>
      <c r="E253" s="105">
        <v>4556.62</v>
      </c>
      <c r="F253" s="105">
        <v>4556.62</v>
      </c>
      <c r="G253" s="106">
        <v>3042810000</v>
      </c>
      <c r="H253" s="107">
        <f t="shared" si="3"/>
        <v>4.0610904347328546E-3</v>
      </c>
    </row>
    <row r="254" spans="1:8" ht="15">
      <c r="A254" s="109">
        <v>45251</v>
      </c>
      <c r="B254" s="105">
        <v>4538.7700000000004</v>
      </c>
      <c r="C254" s="105">
        <v>4542.1400000000003</v>
      </c>
      <c r="D254" s="105">
        <v>4525.51</v>
      </c>
      <c r="E254" s="105">
        <v>4538.1899999999996</v>
      </c>
      <c r="F254" s="105">
        <v>4538.1899999999996</v>
      </c>
      <c r="G254" s="106">
        <v>3511080000</v>
      </c>
      <c r="H254" s="107">
        <f t="shared" si="3"/>
        <v>-2.0209439281521466E-3</v>
      </c>
    </row>
    <row r="255" spans="1:8" ht="15">
      <c r="A255" s="109">
        <v>45250</v>
      </c>
      <c r="B255" s="105">
        <v>4511.7</v>
      </c>
      <c r="C255" s="105">
        <v>4557.1099999999997</v>
      </c>
      <c r="D255" s="105">
        <v>4510.3599999999997</v>
      </c>
      <c r="E255" s="105">
        <v>4547.38</v>
      </c>
      <c r="F255" s="105">
        <v>4547.38</v>
      </c>
      <c r="G255" s="106">
        <v>3644790000</v>
      </c>
      <c r="H255" s="107">
        <f t="shared" si="3"/>
        <v>7.390308416887756E-3</v>
      </c>
    </row>
    <row r="256" spans="1:8" ht="15">
      <c r="A256" s="109">
        <v>45247</v>
      </c>
      <c r="B256" s="105">
        <v>4509.55</v>
      </c>
      <c r="C256" s="105">
        <v>4520.12</v>
      </c>
      <c r="D256" s="105">
        <v>4499.66</v>
      </c>
      <c r="E256" s="105">
        <v>4514.0200000000004</v>
      </c>
      <c r="F256" s="105">
        <v>4514.0200000000004</v>
      </c>
      <c r="G256" s="106">
        <v>3777240000</v>
      </c>
      <c r="H256" s="107">
        <f t="shared" si="3"/>
        <v>1.2820967827801215E-3</v>
      </c>
    </row>
    <row r="257" spans="1:8" ht="15">
      <c r="A257" s="109">
        <v>45246</v>
      </c>
      <c r="B257" s="105">
        <v>4497.08</v>
      </c>
      <c r="C257" s="105">
        <v>4511.99</v>
      </c>
      <c r="D257" s="105">
        <v>4487.83</v>
      </c>
      <c r="E257" s="105">
        <v>4508.24</v>
      </c>
      <c r="F257" s="105">
        <v>4508.24</v>
      </c>
      <c r="G257" s="106">
        <v>3964520000</v>
      </c>
      <c r="H257" s="107">
        <f t="shared" si="3"/>
        <v>1.1903492875669954E-3</v>
      </c>
    </row>
    <row r="258" spans="1:8" ht="15">
      <c r="A258" s="109">
        <v>45245</v>
      </c>
      <c r="B258" s="105">
        <v>4505.3</v>
      </c>
      <c r="C258" s="105">
        <v>4521.17</v>
      </c>
      <c r="D258" s="105">
        <v>4495.3100000000004</v>
      </c>
      <c r="E258" s="105">
        <v>4502.88</v>
      </c>
      <c r="F258" s="105">
        <v>4502.88</v>
      </c>
      <c r="G258" s="106">
        <v>4347170000</v>
      </c>
      <c r="H258" s="107">
        <f t="shared" si="3"/>
        <v>1.5970816558045001E-3</v>
      </c>
    </row>
    <row r="259" spans="1:8" ht="15">
      <c r="A259" s="109">
        <v>45244</v>
      </c>
      <c r="B259" s="105">
        <v>4458.97</v>
      </c>
      <c r="C259" s="105">
        <v>4508.67</v>
      </c>
      <c r="D259" s="105">
        <v>4458.97</v>
      </c>
      <c r="E259" s="105">
        <v>4495.7</v>
      </c>
      <c r="F259" s="105">
        <v>4495.7</v>
      </c>
      <c r="G259" s="106">
        <v>4700350000</v>
      </c>
      <c r="H259" s="107">
        <f t="shared" ref="H259:H322" si="4">(F259-F260)/F260</f>
        <v>1.9074928313177825E-2</v>
      </c>
    </row>
    <row r="260" spans="1:8" ht="15">
      <c r="A260" s="109">
        <v>45243</v>
      </c>
      <c r="B260" s="105">
        <v>4406.66</v>
      </c>
      <c r="C260" s="105">
        <v>4421.76</v>
      </c>
      <c r="D260" s="105">
        <v>4393.82</v>
      </c>
      <c r="E260" s="105">
        <v>4411.55</v>
      </c>
      <c r="F260" s="105">
        <v>4411.55</v>
      </c>
      <c r="G260" s="106">
        <v>3326240000</v>
      </c>
      <c r="H260" s="107">
        <f t="shared" si="4"/>
        <v>-8.3574165843750285E-4</v>
      </c>
    </row>
    <row r="261" spans="1:8" ht="15">
      <c r="A261" s="109">
        <v>45240</v>
      </c>
      <c r="B261" s="105">
        <v>4364.1499999999996</v>
      </c>
      <c r="C261" s="105">
        <v>4418.03</v>
      </c>
      <c r="D261" s="105">
        <v>4353.34</v>
      </c>
      <c r="E261" s="105">
        <v>4415.24</v>
      </c>
      <c r="F261" s="105">
        <v>4415.24</v>
      </c>
      <c r="G261" s="106">
        <v>3665080000</v>
      </c>
      <c r="H261" s="107">
        <f t="shared" si="4"/>
        <v>1.5616409996894525E-2</v>
      </c>
    </row>
    <row r="262" spans="1:8" ht="15">
      <c r="A262" s="109">
        <v>45239</v>
      </c>
      <c r="B262" s="105">
        <v>4391.41</v>
      </c>
      <c r="C262" s="105">
        <v>4393.3999999999996</v>
      </c>
      <c r="D262" s="105">
        <v>4343.9399999999996</v>
      </c>
      <c r="E262" s="105">
        <v>4347.3500000000004</v>
      </c>
      <c r="F262" s="105">
        <v>4347.3500000000004</v>
      </c>
      <c r="G262" s="106">
        <v>3900780000</v>
      </c>
      <c r="H262" s="107">
        <f t="shared" si="4"/>
        <v>-8.0839102122395798E-3</v>
      </c>
    </row>
    <row r="263" spans="1:8" ht="15">
      <c r="A263" s="109">
        <v>45238</v>
      </c>
      <c r="B263" s="105">
        <v>4384.37</v>
      </c>
      <c r="C263" s="105">
        <v>4391.2</v>
      </c>
      <c r="D263" s="105">
        <v>4359.76</v>
      </c>
      <c r="E263" s="105">
        <v>4382.78</v>
      </c>
      <c r="F263" s="105">
        <v>4382.78</v>
      </c>
      <c r="G263" s="106">
        <v>3729510000</v>
      </c>
      <c r="H263" s="107">
        <f t="shared" si="4"/>
        <v>1.0049378994056331E-3</v>
      </c>
    </row>
    <row r="264" spans="1:8" ht="15">
      <c r="A264" s="109">
        <v>45237</v>
      </c>
      <c r="B264" s="105">
        <v>4366.21</v>
      </c>
      <c r="C264" s="105">
        <v>4386.26</v>
      </c>
      <c r="D264" s="105">
        <v>4355.41</v>
      </c>
      <c r="E264" s="105">
        <v>4378.38</v>
      </c>
      <c r="F264" s="105">
        <v>4378.38</v>
      </c>
      <c r="G264" s="106">
        <v>3791230000</v>
      </c>
      <c r="H264" s="107">
        <f t="shared" si="4"/>
        <v>2.8401412741241479E-3</v>
      </c>
    </row>
    <row r="265" spans="1:8" ht="15">
      <c r="A265" s="109">
        <v>45236</v>
      </c>
      <c r="B265" s="105">
        <v>4364.2700000000004</v>
      </c>
      <c r="C265" s="105">
        <v>4372.21</v>
      </c>
      <c r="D265" s="105">
        <v>4347.53</v>
      </c>
      <c r="E265" s="105">
        <v>4365.9799999999996</v>
      </c>
      <c r="F265" s="105">
        <v>4365.9799999999996</v>
      </c>
      <c r="G265" s="106">
        <v>3656340000</v>
      </c>
      <c r="H265" s="107">
        <f t="shared" si="4"/>
        <v>1.7529609897344901E-3</v>
      </c>
    </row>
    <row r="266" spans="1:8" ht="15">
      <c r="A266" s="109">
        <v>45233</v>
      </c>
      <c r="B266" s="105">
        <v>4334.2299999999996</v>
      </c>
      <c r="C266" s="105">
        <v>4373.62</v>
      </c>
      <c r="D266" s="105">
        <v>4334.2299999999996</v>
      </c>
      <c r="E266" s="105">
        <v>4358.34</v>
      </c>
      <c r="F266" s="105">
        <v>4358.34</v>
      </c>
      <c r="G266" s="106">
        <v>4570960000</v>
      </c>
      <c r="H266" s="107">
        <f t="shared" si="4"/>
        <v>9.3937162152773878E-3</v>
      </c>
    </row>
    <row r="267" spans="1:8" ht="15">
      <c r="A267" s="109">
        <v>45232</v>
      </c>
      <c r="B267" s="105">
        <v>4268.26</v>
      </c>
      <c r="C267" s="105">
        <v>4319.72</v>
      </c>
      <c r="D267" s="105">
        <v>4268.26</v>
      </c>
      <c r="E267" s="105">
        <v>4317.78</v>
      </c>
      <c r="F267" s="105">
        <v>4317.78</v>
      </c>
      <c r="G267" s="106">
        <v>4669780000</v>
      </c>
      <c r="H267" s="107">
        <f t="shared" si="4"/>
        <v>1.8858574846738703E-2</v>
      </c>
    </row>
    <row r="268" spans="1:8" ht="15">
      <c r="A268" s="109">
        <v>45231</v>
      </c>
      <c r="B268" s="105">
        <v>4201.2700000000004</v>
      </c>
      <c r="C268" s="105">
        <v>4245.6400000000003</v>
      </c>
      <c r="D268" s="105">
        <v>4197.74</v>
      </c>
      <c r="E268" s="105">
        <v>4237.8599999999997</v>
      </c>
      <c r="F268" s="105">
        <v>4237.8599999999997</v>
      </c>
      <c r="G268" s="106">
        <v>4224900000</v>
      </c>
      <c r="H268" s="107">
        <f t="shared" si="4"/>
        <v>1.0505985025513732E-2</v>
      </c>
    </row>
    <row r="269" spans="1:8" ht="15">
      <c r="A269" s="109">
        <v>45230</v>
      </c>
      <c r="B269" s="105">
        <v>4171.33</v>
      </c>
      <c r="C269" s="105">
        <v>4195.55</v>
      </c>
      <c r="D269" s="105">
        <v>4153.12</v>
      </c>
      <c r="E269" s="105">
        <v>4193.8</v>
      </c>
      <c r="F269" s="105">
        <v>4193.8</v>
      </c>
      <c r="G269" s="106">
        <v>4249470000</v>
      </c>
      <c r="H269" s="107">
        <f t="shared" si="4"/>
        <v>6.4749617214087665E-3</v>
      </c>
    </row>
    <row r="270" spans="1:8" ht="15">
      <c r="A270" s="109">
        <v>45229</v>
      </c>
      <c r="B270" s="105">
        <v>4139.3900000000003</v>
      </c>
      <c r="C270" s="105">
        <v>4177.47</v>
      </c>
      <c r="D270" s="105">
        <v>4132.9399999999996</v>
      </c>
      <c r="E270" s="105">
        <v>4166.82</v>
      </c>
      <c r="F270" s="105">
        <v>4166.82</v>
      </c>
      <c r="G270" s="106">
        <v>3911140000</v>
      </c>
      <c r="H270" s="107">
        <f t="shared" si="4"/>
        <v>1.2010093822027125E-2</v>
      </c>
    </row>
    <row r="271" spans="1:8" ht="15">
      <c r="A271" s="109">
        <v>45226</v>
      </c>
      <c r="B271" s="105">
        <v>4152.93</v>
      </c>
      <c r="C271" s="105">
        <v>4156.7</v>
      </c>
      <c r="D271" s="105">
        <v>4103.78</v>
      </c>
      <c r="E271" s="105">
        <v>4117.37</v>
      </c>
      <c r="F271" s="105">
        <v>4117.37</v>
      </c>
      <c r="G271" s="106">
        <v>4019500000</v>
      </c>
      <c r="H271" s="107">
        <f t="shared" si="4"/>
        <v>-4.800313253070212E-3</v>
      </c>
    </row>
    <row r="272" spans="1:8" ht="15">
      <c r="A272" s="109">
        <v>45225</v>
      </c>
      <c r="B272" s="105">
        <v>4175.99</v>
      </c>
      <c r="C272" s="105">
        <v>4183.6000000000004</v>
      </c>
      <c r="D272" s="105">
        <v>4127.8999999999996</v>
      </c>
      <c r="E272" s="105">
        <v>4137.2299999999996</v>
      </c>
      <c r="F272" s="105">
        <v>4137.2299999999996</v>
      </c>
      <c r="G272" s="106">
        <v>4277640000</v>
      </c>
      <c r="H272" s="107">
        <f t="shared" si="4"/>
        <v>-1.1832510503323772E-2</v>
      </c>
    </row>
    <row r="273" spans="1:8" ht="15">
      <c r="A273" s="109">
        <v>45224</v>
      </c>
      <c r="B273" s="105">
        <v>4232.42</v>
      </c>
      <c r="C273" s="105">
        <v>4232.42</v>
      </c>
      <c r="D273" s="105">
        <v>4181.42</v>
      </c>
      <c r="E273" s="105">
        <v>4186.7700000000004</v>
      </c>
      <c r="F273" s="105">
        <v>4186.7700000000004</v>
      </c>
      <c r="G273" s="106">
        <v>3869370000</v>
      </c>
      <c r="H273" s="107">
        <f t="shared" si="4"/>
        <v>-1.4339592436341685E-2</v>
      </c>
    </row>
    <row r="274" spans="1:8" ht="15">
      <c r="A274" s="109">
        <v>45223</v>
      </c>
      <c r="B274" s="105">
        <v>4235.79</v>
      </c>
      <c r="C274" s="105">
        <v>4259.38</v>
      </c>
      <c r="D274" s="105">
        <v>4219.43</v>
      </c>
      <c r="E274" s="105">
        <v>4247.68</v>
      </c>
      <c r="F274" s="105">
        <v>4247.68</v>
      </c>
      <c r="G274" s="106">
        <v>3821820000</v>
      </c>
      <c r="H274" s="107">
        <f t="shared" si="4"/>
        <v>7.2657598694819891E-3</v>
      </c>
    </row>
    <row r="275" spans="1:8" ht="15">
      <c r="A275" s="109">
        <v>45222</v>
      </c>
      <c r="B275" s="105">
        <v>4210.3999999999996</v>
      </c>
      <c r="C275" s="105">
        <v>4255.84</v>
      </c>
      <c r="D275" s="105">
        <v>4189.22</v>
      </c>
      <c r="E275" s="105">
        <v>4217.04</v>
      </c>
      <c r="F275" s="105">
        <v>4217.04</v>
      </c>
      <c r="G275" s="106">
        <v>3776100000</v>
      </c>
      <c r="H275" s="107">
        <f t="shared" si="4"/>
        <v>-1.6855422143100382E-3</v>
      </c>
    </row>
    <row r="276" spans="1:8" ht="15">
      <c r="A276" s="109">
        <v>45219</v>
      </c>
      <c r="B276" s="105">
        <v>4273.8500000000004</v>
      </c>
      <c r="C276" s="105">
        <v>4276.5600000000004</v>
      </c>
      <c r="D276" s="105">
        <v>4223.03</v>
      </c>
      <c r="E276" s="105">
        <v>4224.16</v>
      </c>
      <c r="F276" s="105">
        <v>4224.16</v>
      </c>
      <c r="G276" s="106">
        <v>4004030000</v>
      </c>
      <c r="H276" s="107">
        <f t="shared" si="4"/>
        <v>-1.2585320243104289E-2</v>
      </c>
    </row>
    <row r="277" spans="1:8" ht="15">
      <c r="A277" s="109">
        <v>45218</v>
      </c>
      <c r="B277" s="105">
        <v>4321.3599999999997</v>
      </c>
      <c r="C277" s="105">
        <v>4339.54</v>
      </c>
      <c r="D277" s="105">
        <v>4269.6899999999996</v>
      </c>
      <c r="E277" s="105">
        <v>4278</v>
      </c>
      <c r="F277" s="105">
        <v>4278</v>
      </c>
      <c r="G277" s="106">
        <v>3969730000</v>
      </c>
      <c r="H277" s="107">
        <f t="shared" si="4"/>
        <v>-8.4828257544153247E-3</v>
      </c>
    </row>
    <row r="278" spans="1:8" ht="15">
      <c r="A278" s="109">
        <v>45217</v>
      </c>
      <c r="B278" s="105">
        <v>4357.3500000000004</v>
      </c>
      <c r="C278" s="105">
        <v>4364.2</v>
      </c>
      <c r="D278" s="105">
        <v>4303.84</v>
      </c>
      <c r="E278" s="105">
        <v>4314.6000000000004</v>
      </c>
      <c r="F278" s="105">
        <v>4314.6000000000004</v>
      </c>
      <c r="G278" s="106">
        <v>3686030000</v>
      </c>
      <c r="H278" s="107">
        <f t="shared" si="4"/>
        <v>-1.3399798774352753E-2</v>
      </c>
    </row>
    <row r="279" spans="1:8" ht="15">
      <c r="A279" s="109">
        <v>45216</v>
      </c>
      <c r="B279" s="105">
        <v>4345.2299999999996</v>
      </c>
      <c r="C279" s="105">
        <v>4393.57</v>
      </c>
      <c r="D279" s="105">
        <v>4337.54</v>
      </c>
      <c r="E279" s="105">
        <v>4373.2</v>
      </c>
      <c r="F279" s="105">
        <v>4373.2</v>
      </c>
      <c r="G279" s="106">
        <v>3794850000</v>
      </c>
      <c r="H279" s="107">
        <f t="shared" si="4"/>
        <v>-9.8316501395932218E-5</v>
      </c>
    </row>
    <row r="280" spans="1:8" ht="15">
      <c r="A280" s="109">
        <v>45215</v>
      </c>
      <c r="B280" s="105">
        <v>4342.37</v>
      </c>
      <c r="C280" s="105">
        <v>4383.33</v>
      </c>
      <c r="D280" s="105">
        <v>4342.37</v>
      </c>
      <c r="E280" s="105">
        <v>4373.63</v>
      </c>
      <c r="F280" s="105">
        <v>4373.63</v>
      </c>
      <c r="G280" s="106">
        <v>3409960000</v>
      </c>
      <c r="H280" s="107">
        <f t="shared" si="4"/>
        <v>1.0594346293018676E-2</v>
      </c>
    </row>
    <row r="281" spans="1:8" ht="15">
      <c r="A281" s="109">
        <v>45212</v>
      </c>
      <c r="B281" s="105">
        <v>4360.49</v>
      </c>
      <c r="C281" s="105">
        <v>4377.1000000000004</v>
      </c>
      <c r="D281" s="105">
        <v>4311.97</v>
      </c>
      <c r="E281" s="105">
        <v>4327.78</v>
      </c>
      <c r="F281" s="105">
        <v>4327.78</v>
      </c>
      <c r="G281" s="106">
        <v>3566560000</v>
      </c>
      <c r="H281" s="107">
        <f t="shared" si="4"/>
        <v>-5.0188407696322036E-3</v>
      </c>
    </row>
    <row r="282" spans="1:8" ht="15">
      <c r="A282" s="109">
        <v>45211</v>
      </c>
      <c r="B282" s="105">
        <v>4380.9399999999996</v>
      </c>
      <c r="C282" s="105">
        <v>4385.8500000000004</v>
      </c>
      <c r="D282" s="105">
        <v>4325.43</v>
      </c>
      <c r="E282" s="105">
        <v>4349.6099999999997</v>
      </c>
      <c r="F282" s="105">
        <v>4349.6099999999997</v>
      </c>
      <c r="G282" s="106">
        <v>3713140000</v>
      </c>
      <c r="H282" s="107">
        <f t="shared" si="4"/>
        <v>-6.246358765807274E-3</v>
      </c>
    </row>
    <row r="283" spans="1:8" ht="15">
      <c r="A283" s="109">
        <v>45210</v>
      </c>
      <c r="B283" s="105">
        <v>4366.59</v>
      </c>
      <c r="C283" s="105">
        <v>4378.6400000000003</v>
      </c>
      <c r="D283" s="105">
        <v>4345.34</v>
      </c>
      <c r="E283" s="105">
        <v>4376.95</v>
      </c>
      <c r="F283" s="105">
        <v>4376.95</v>
      </c>
      <c r="G283" s="106">
        <v>3601660000</v>
      </c>
      <c r="H283" s="107">
        <f t="shared" si="4"/>
        <v>4.2930173648078208E-3</v>
      </c>
    </row>
    <row r="284" spans="1:8" ht="15">
      <c r="A284" s="109">
        <v>45209</v>
      </c>
      <c r="B284" s="105">
        <v>4339.75</v>
      </c>
      <c r="C284" s="105">
        <v>4385.46</v>
      </c>
      <c r="D284" s="105">
        <v>4339.6400000000003</v>
      </c>
      <c r="E284" s="105">
        <v>4358.24</v>
      </c>
      <c r="F284" s="105">
        <v>4358.24</v>
      </c>
      <c r="G284" s="106">
        <v>3520240000</v>
      </c>
      <c r="H284" s="107">
        <f t="shared" si="4"/>
        <v>5.2079729499084175E-3</v>
      </c>
    </row>
    <row r="285" spans="1:8" ht="15">
      <c r="A285" s="109">
        <v>45208</v>
      </c>
      <c r="B285" s="105">
        <v>4289.0200000000004</v>
      </c>
      <c r="C285" s="105">
        <v>4341.7299999999996</v>
      </c>
      <c r="D285" s="105">
        <v>4283.79</v>
      </c>
      <c r="E285" s="105">
        <v>4335.66</v>
      </c>
      <c r="F285" s="105">
        <v>4335.66</v>
      </c>
      <c r="G285" s="106">
        <v>3174630000</v>
      </c>
      <c r="H285" s="107">
        <f t="shared" si="4"/>
        <v>6.3038180341185692E-3</v>
      </c>
    </row>
    <row r="286" spans="1:8" ht="15">
      <c r="A286" s="109">
        <v>45205</v>
      </c>
      <c r="B286" s="105">
        <v>4234.79</v>
      </c>
      <c r="C286" s="105">
        <v>4324.1000000000004</v>
      </c>
      <c r="D286" s="105">
        <v>4219.55</v>
      </c>
      <c r="E286" s="105">
        <v>4308.5</v>
      </c>
      <c r="F286" s="105">
        <v>4308.5</v>
      </c>
      <c r="G286" s="106">
        <v>3902030000</v>
      </c>
      <c r="H286" s="107">
        <f t="shared" si="4"/>
        <v>1.1814879091820798E-2</v>
      </c>
    </row>
    <row r="287" spans="1:8" ht="15">
      <c r="A287" s="109">
        <v>45204</v>
      </c>
      <c r="B287" s="105">
        <v>4259.3100000000004</v>
      </c>
      <c r="C287" s="105">
        <v>4267.13</v>
      </c>
      <c r="D287" s="105">
        <v>4225.91</v>
      </c>
      <c r="E287" s="105">
        <v>4258.1899999999996</v>
      </c>
      <c r="F287" s="105">
        <v>4258.1899999999996</v>
      </c>
      <c r="G287" s="106">
        <v>3581470000</v>
      </c>
      <c r="H287" s="107">
        <f t="shared" si="4"/>
        <v>-1.3040164174729757E-3</v>
      </c>
    </row>
    <row r="288" spans="1:8" ht="15">
      <c r="A288" s="109">
        <v>45203</v>
      </c>
      <c r="B288" s="105">
        <v>4233.83</v>
      </c>
      <c r="C288" s="105">
        <v>4268.5</v>
      </c>
      <c r="D288" s="105">
        <v>4220.4799999999996</v>
      </c>
      <c r="E288" s="105">
        <v>4263.75</v>
      </c>
      <c r="F288" s="105">
        <v>4263.75</v>
      </c>
      <c r="G288" s="106">
        <v>3777600000</v>
      </c>
      <c r="H288" s="107">
        <f t="shared" si="4"/>
        <v>8.1098015108347857E-3</v>
      </c>
    </row>
    <row r="289" spans="1:8" ht="15">
      <c r="A289" s="109">
        <v>45202</v>
      </c>
      <c r="B289" s="105">
        <v>4269.75</v>
      </c>
      <c r="C289" s="105">
        <v>4281.1499999999996</v>
      </c>
      <c r="D289" s="105">
        <v>4216.45</v>
      </c>
      <c r="E289" s="105">
        <v>4229.45</v>
      </c>
      <c r="F289" s="105">
        <v>4229.45</v>
      </c>
      <c r="G289" s="106">
        <v>3953830000</v>
      </c>
      <c r="H289" s="107">
        <f t="shared" si="4"/>
        <v>-1.3744085775780773E-2</v>
      </c>
    </row>
    <row r="290" spans="1:8" ht="15">
      <c r="A290" s="109">
        <v>45201</v>
      </c>
      <c r="B290" s="105">
        <v>4284.5200000000004</v>
      </c>
      <c r="C290" s="105">
        <v>4300.58</v>
      </c>
      <c r="D290" s="105">
        <v>4260.21</v>
      </c>
      <c r="E290" s="105">
        <v>4288.3900000000003</v>
      </c>
      <c r="F290" s="105">
        <v>4288.3900000000003</v>
      </c>
      <c r="G290" s="106">
        <v>3938660000</v>
      </c>
      <c r="H290" s="107">
        <f t="shared" si="4"/>
        <v>7.9290120217848556E-5</v>
      </c>
    </row>
    <row r="291" spans="1:8" ht="15">
      <c r="A291" s="109">
        <v>45198</v>
      </c>
      <c r="B291" s="105">
        <v>4328.18</v>
      </c>
      <c r="C291" s="105">
        <v>4333.1499999999996</v>
      </c>
      <c r="D291" s="105">
        <v>4274.8599999999997</v>
      </c>
      <c r="E291" s="105">
        <v>4288.05</v>
      </c>
      <c r="F291" s="105">
        <v>4288.05</v>
      </c>
      <c r="G291" s="106">
        <v>3865960000</v>
      </c>
      <c r="H291" s="107">
        <f t="shared" si="4"/>
        <v>-2.7094913598622317E-3</v>
      </c>
    </row>
    <row r="292" spans="1:8" ht="15">
      <c r="A292" s="109">
        <v>45197</v>
      </c>
      <c r="B292" s="105">
        <v>4269.6499999999996</v>
      </c>
      <c r="C292" s="105">
        <v>4317.2700000000004</v>
      </c>
      <c r="D292" s="105">
        <v>4264.38</v>
      </c>
      <c r="E292" s="105">
        <v>4299.7</v>
      </c>
      <c r="F292" s="105">
        <v>4299.7</v>
      </c>
      <c r="G292" s="106">
        <v>3846230000</v>
      </c>
      <c r="H292" s="107">
        <f t="shared" si="4"/>
        <v>5.8930731241708641E-3</v>
      </c>
    </row>
    <row r="293" spans="1:8" ht="15">
      <c r="A293" s="109">
        <v>45196</v>
      </c>
      <c r="B293" s="105">
        <v>4282.63</v>
      </c>
      <c r="C293" s="105">
        <v>4292.07</v>
      </c>
      <c r="D293" s="105">
        <v>4238.63</v>
      </c>
      <c r="E293" s="105">
        <v>4274.51</v>
      </c>
      <c r="F293" s="105">
        <v>4274.51</v>
      </c>
      <c r="G293" s="106">
        <v>3875880000</v>
      </c>
      <c r="H293" s="107">
        <f t="shared" si="4"/>
        <v>2.2931861950202127E-4</v>
      </c>
    </row>
    <row r="294" spans="1:8" ht="15">
      <c r="A294" s="109">
        <v>45195</v>
      </c>
      <c r="B294" s="105">
        <v>4312.88</v>
      </c>
      <c r="C294" s="105">
        <v>4313.01</v>
      </c>
      <c r="D294" s="105">
        <v>4265.9799999999996</v>
      </c>
      <c r="E294" s="105">
        <v>4273.53</v>
      </c>
      <c r="F294" s="105">
        <v>4273.53</v>
      </c>
      <c r="G294" s="106">
        <v>3472340000</v>
      </c>
      <c r="H294" s="107">
        <f t="shared" si="4"/>
        <v>-1.4734497768268809E-2</v>
      </c>
    </row>
    <row r="295" spans="1:8" ht="15">
      <c r="A295" s="109">
        <v>45194</v>
      </c>
      <c r="B295" s="105">
        <v>4310.62</v>
      </c>
      <c r="C295" s="105">
        <v>4338.51</v>
      </c>
      <c r="D295" s="105">
        <v>4302.7</v>
      </c>
      <c r="E295" s="105">
        <v>4337.4399999999996</v>
      </c>
      <c r="F295" s="105">
        <v>4337.4399999999996</v>
      </c>
      <c r="G295" s="106">
        <v>3195650000</v>
      </c>
      <c r="H295" s="107">
        <f t="shared" si="4"/>
        <v>4.0230922718664085E-3</v>
      </c>
    </row>
    <row r="296" spans="1:8" ht="15">
      <c r="A296" s="109">
        <v>45191</v>
      </c>
      <c r="B296" s="105">
        <v>4341.74</v>
      </c>
      <c r="C296" s="105">
        <v>4357.3999999999996</v>
      </c>
      <c r="D296" s="105">
        <v>4316.49</v>
      </c>
      <c r="E296" s="105">
        <v>4320.0600000000004</v>
      </c>
      <c r="F296" s="105">
        <v>4320.0600000000004</v>
      </c>
      <c r="G296" s="106">
        <v>3349570000</v>
      </c>
      <c r="H296" s="107">
        <f t="shared" si="4"/>
        <v>-2.2956120092377827E-3</v>
      </c>
    </row>
    <row r="297" spans="1:8" ht="15">
      <c r="A297" s="109">
        <v>45190</v>
      </c>
      <c r="B297" s="105">
        <v>4374.3599999999997</v>
      </c>
      <c r="C297" s="105">
        <v>4375.7</v>
      </c>
      <c r="D297" s="105">
        <v>4329.17</v>
      </c>
      <c r="E297" s="105">
        <v>4330</v>
      </c>
      <c r="F297" s="105">
        <v>4330</v>
      </c>
      <c r="G297" s="106">
        <v>3662340000</v>
      </c>
      <c r="H297" s="107">
        <f t="shared" si="4"/>
        <v>-1.6400890463858939E-2</v>
      </c>
    </row>
    <row r="298" spans="1:8" ht="15">
      <c r="A298" s="109">
        <v>45189</v>
      </c>
      <c r="B298" s="105">
        <v>4452.8100000000004</v>
      </c>
      <c r="C298" s="105">
        <v>4461.03</v>
      </c>
      <c r="D298" s="105">
        <v>4401.38</v>
      </c>
      <c r="E298" s="105">
        <v>4402.2</v>
      </c>
      <c r="F298" s="105">
        <v>4402.2</v>
      </c>
      <c r="G298" s="106">
        <v>3308450000</v>
      </c>
      <c r="H298" s="107">
        <f t="shared" si="4"/>
        <v>-9.3947951709627692E-3</v>
      </c>
    </row>
    <row r="299" spans="1:8" ht="15">
      <c r="A299" s="109">
        <v>45188</v>
      </c>
      <c r="B299" s="105">
        <v>4445.41</v>
      </c>
      <c r="C299" s="105">
        <v>4449.8500000000004</v>
      </c>
      <c r="D299" s="105">
        <v>4416.6099999999997</v>
      </c>
      <c r="E299" s="105">
        <v>4443.95</v>
      </c>
      <c r="F299" s="105">
        <v>4443.95</v>
      </c>
      <c r="G299" s="106">
        <v>3614880000</v>
      </c>
      <c r="H299" s="107">
        <f t="shared" si="4"/>
        <v>-2.151102608492573E-3</v>
      </c>
    </row>
    <row r="300" spans="1:8" ht="15">
      <c r="A300" s="109">
        <v>45187</v>
      </c>
      <c r="B300" s="105">
        <v>4445.13</v>
      </c>
      <c r="C300" s="105">
        <v>4466.3599999999997</v>
      </c>
      <c r="D300" s="105">
        <v>4442.1099999999997</v>
      </c>
      <c r="E300" s="105">
        <v>4453.53</v>
      </c>
      <c r="F300" s="105">
        <v>4453.53</v>
      </c>
      <c r="G300" s="106">
        <v>3161230000</v>
      </c>
      <c r="H300" s="107">
        <f t="shared" si="4"/>
        <v>7.2129644609826636E-4</v>
      </c>
    </row>
    <row r="301" spans="1:8" ht="15">
      <c r="A301" s="109">
        <v>45184</v>
      </c>
      <c r="B301" s="105">
        <v>4497.9799999999996</v>
      </c>
      <c r="C301" s="105">
        <v>4497.9799999999996</v>
      </c>
      <c r="D301" s="105">
        <v>4447.21</v>
      </c>
      <c r="E301" s="105">
        <v>4450.32</v>
      </c>
      <c r="F301" s="105">
        <v>4450.32</v>
      </c>
      <c r="G301" s="106">
        <v>6932230000</v>
      </c>
      <c r="H301" s="107">
        <f t="shared" si="4"/>
        <v>-1.2159552507158698E-2</v>
      </c>
    </row>
    <row r="302" spans="1:8" ht="15">
      <c r="A302" s="109">
        <v>45183</v>
      </c>
      <c r="B302" s="105">
        <v>4487.78</v>
      </c>
      <c r="C302" s="105">
        <v>4511.99</v>
      </c>
      <c r="D302" s="105">
        <v>4478.6899999999996</v>
      </c>
      <c r="E302" s="105">
        <v>4505.1000000000004</v>
      </c>
      <c r="F302" s="105">
        <v>4505.1000000000004</v>
      </c>
      <c r="G302" s="106">
        <v>3648720000</v>
      </c>
      <c r="H302" s="107">
        <f t="shared" si="4"/>
        <v>8.429883781315645E-3</v>
      </c>
    </row>
    <row r="303" spans="1:8" ht="15">
      <c r="A303" s="109">
        <v>45182</v>
      </c>
      <c r="B303" s="105">
        <v>4462.6499999999996</v>
      </c>
      <c r="C303" s="105">
        <v>4479.3900000000003</v>
      </c>
      <c r="D303" s="105">
        <v>4453.5200000000004</v>
      </c>
      <c r="E303" s="105">
        <v>4467.4399999999996</v>
      </c>
      <c r="F303" s="105">
        <v>4467.4399999999996</v>
      </c>
      <c r="G303" s="106">
        <v>3529430000</v>
      </c>
      <c r="H303" s="107">
        <f t="shared" si="4"/>
        <v>1.2416235236110097E-3</v>
      </c>
    </row>
    <row r="304" spans="1:8" ht="15">
      <c r="A304" s="109">
        <v>45181</v>
      </c>
      <c r="B304" s="105">
        <v>4473.2700000000004</v>
      </c>
      <c r="C304" s="105">
        <v>4487.1099999999997</v>
      </c>
      <c r="D304" s="105">
        <v>4456.83</v>
      </c>
      <c r="E304" s="105">
        <v>4461.8999999999996</v>
      </c>
      <c r="F304" s="105">
        <v>4461.8999999999996</v>
      </c>
      <c r="G304" s="106">
        <v>3435740000</v>
      </c>
      <c r="H304" s="107">
        <f t="shared" si="4"/>
        <v>-5.6958724980279265E-3</v>
      </c>
    </row>
    <row r="305" spans="1:8" ht="15">
      <c r="A305" s="109">
        <v>45180</v>
      </c>
      <c r="B305" s="105">
        <v>4480.9799999999996</v>
      </c>
      <c r="C305" s="105">
        <v>4490.7700000000004</v>
      </c>
      <c r="D305" s="105">
        <v>4467.8900000000003</v>
      </c>
      <c r="E305" s="105">
        <v>4487.46</v>
      </c>
      <c r="F305" s="105">
        <v>4487.46</v>
      </c>
      <c r="G305" s="106">
        <v>3369920000</v>
      </c>
      <c r="H305" s="107">
        <f t="shared" si="4"/>
        <v>6.723514803174041E-3</v>
      </c>
    </row>
    <row r="306" spans="1:8" ht="15">
      <c r="A306" s="109">
        <v>45177</v>
      </c>
      <c r="B306" s="105">
        <v>4451.3</v>
      </c>
      <c r="C306" s="105">
        <v>4473.53</v>
      </c>
      <c r="D306" s="105">
        <v>4448.38</v>
      </c>
      <c r="E306" s="105">
        <v>4457.49</v>
      </c>
      <c r="F306" s="105">
        <v>4457.49</v>
      </c>
      <c r="G306" s="106">
        <v>3259290000</v>
      </c>
      <c r="H306" s="107">
        <f t="shared" si="4"/>
        <v>1.4266008258557255E-3</v>
      </c>
    </row>
    <row r="307" spans="1:8" ht="15">
      <c r="A307" s="109">
        <v>45176</v>
      </c>
      <c r="B307" s="105">
        <v>4434.55</v>
      </c>
      <c r="C307" s="105">
        <v>4457.8100000000004</v>
      </c>
      <c r="D307" s="105">
        <v>4430.46</v>
      </c>
      <c r="E307" s="105">
        <v>4451.1400000000003</v>
      </c>
      <c r="F307" s="105">
        <v>4451.1400000000003</v>
      </c>
      <c r="G307" s="106">
        <v>3763760000</v>
      </c>
      <c r="H307" s="107">
        <f t="shared" si="4"/>
        <v>-3.2113009127796425E-3</v>
      </c>
    </row>
    <row r="308" spans="1:8" ht="15">
      <c r="A308" s="109">
        <v>45175</v>
      </c>
      <c r="B308" s="105">
        <v>4490.3500000000004</v>
      </c>
      <c r="C308" s="105">
        <v>4490.3500000000004</v>
      </c>
      <c r="D308" s="105">
        <v>4442.38</v>
      </c>
      <c r="E308" s="105">
        <v>4465.4799999999996</v>
      </c>
      <c r="F308" s="105">
        <v>4465.4799999999996</v>
      </c>
      <c r="G308" s="106">
        <v>3418850000</v>
      </c>
      <c r="H308" s="107">
        <f t="shared" si="4"/>
        <v>-6.9715777558858943E-3</v>
      </c>
    </row>
    <row r="309" spans="1:8" ht="15">
      <c r="A309" s="109">
        <v>45174</v>
      </c>
      <c r="B309" s="105">
        <v>4510.0600000000004</v>
      </c>
      <c r="C309" s="105">
        <v>4514.29</v>
      </c>
      <c r="D309" s="105">
        <v>4496.01</v>
      </c>
      <c r="E309" s="105">
        <v>4496.83</v>
      </c>
      <c r="F309" s="105">
        <v>4496.83</v>
      </c>
      <c r="G309" s="106">
        <v>3526250000</v>
      </c>
      <c r="H309" s="107">
        <f t="shared" si="4"/>
        <v>-4.1941905810084458E-3</v>
      </c>
    </row>
    <row r="310" spans="1:8" ht="15">
      <c r="A310" s="109">
        <v>45170</v>
      </c>
      <c r="B310" s="105">
        <v>4530.6000000000004</v>
      </c>
      <c r="C310" s="105">
        <v>4541.25</v>
      </c>
      <c r="D310" s="105">
        <v>4501.3500000000004</v>
      </c>
      <c r="E310" s="105">
        <v>4515.7700000000004</v>
      </c>
      <c r="F310" s="105">
        <v>4515.7700000000004</v>
      </c>
      <c r="G310" s="106">
        <v>3246260000</v>
      </c>
      <c r="H310" s="107">
        <f t="shared" si="4"/>
        <v>1.7991596526802337E-3</v>
      </c>
    </row>
    <row r="311" spans="1:8" ht="15">
      <c r="A311" s="109">
        <v>45169</v>
      </c>
      <c r="B311" s="105">
        <v>4517.01</v>
      </c>
      <c r="C311" s="105">
        <v>4532.26</v>
      </c>
      <c r="D311" s="105">
        <v>4507.3900000000003</v>
      </c>
      <c r="E311" s="105">
        <v>4507.66</v>
      </c>
      <c r="F311" s="105">
        <v>4507.66</v>
      </c>
      <c r="G311" s="106">
        <v>3946360000</v>
      </c>
      <c r="H311" s="107">
        <f t="shared" si="4"/>
        <v>-1.5969452055098012E-3</v>
      </c>
    </row>
    <row r="312" spans="1:8" ht="15">
      <c r="A312" s="109">
        <v>45168</v>
      </c>
      <c r="B312" s="105">
        <v>4500.34</v>
      </c>
      <c r="C312" s="105">
        <v>4521.6499999999996</v>
      </c>
      <c r="D312" s="105">
        <v>4493.59</v>
      </c>
      <c r="E312" s="105">
        <v>4514.87</v>
      </c>
      <c r="F312" s="105">
        <v>4514.87</v>
      </c>
      <c r="G312" s="106">
        <v>3064110000</v>
      </c>
      <c r="H312" s="107">
        <f t="shared" si="4"/>
        <v>3.8331298928546325E-3</v>
      </c>
    </row>
    <row r="313" spans="1:8" ht="15">
      <c r="A313" s="109">
        <v>45167</v>
      </c>
      <c r="B313" s="105">
        <v>4432.75</v>
      </c>
      <c r="C313" s="105">
        <v>4500.1400000000003</v>
      </c>
      <c r="D313" s="105">
        <v>4431.68</v>
      </c>
      <c r="E313" s="105">
        <v>4497.63</v>
      </c>
      <c r="F313" s="105">
        <v>4497.63</v>
      </c>
      <c r="G313" s="106">
        <v>3354820000</v>
      </c>
      <c r="H313" s="107">
        <f t="shared" si="4"/>
        <v>1.4508347036412907E-2</v>
      </c>
    </row>
    <row r="314" spans="1:8" ht="15">
      <c r="A314" s="109">
        <v>45166</v>
      </c>
      <c r="B314" s="105">
        <v>4426.03</v>
      </c>
      <c r="C314" s="105">
        <v>4439.5600000000004</v>
      </c>
      <c r="D314" s="105">
        <v>4414.9799999999996</v>
      </c>
      <c r="E314" s="105">
        <v>4433.3100000000004</v>
      </c>
      <c r="F314" s="105">
        <v>4433.3100000000004</v>
      </c>
      <c r="G314" s="106">
        <v>2957230000</v>
      </c>
      <c r="H314" s="107">
        <f t="shared" si="4"/>
        <v>6.2645975336552712E-3</v>
      </c>
    </row>
    <row r="315" spans="1:8" ht="15">
      <c r="A315" s="109">
        <v>45163</v>
      </c>
      <c r="B315" s="105">
        <v>4389.38</v>
      </c>
      <c r="C315" s="105">
        <v>4418.46</v>
      </c>
      <c r="D315" s="105">
        <v>4356.29</v>
      </c>
      <c r="E315" s="105">
        <v>4405.71</v>
      </c>
      <c r="F315" s="105">
        <v>4405.71</v>
      </c>
      <c r="G315" s="106">
        <v>3296180000</v>
      </c>
      <c r="H315" s="107">
        <f t="shared" si="4"/>
        <v>6.7179884423177591E-3</v>
      </c>
    </row>
    <row r="316" spans="1:8" ht="15">
      <c r="A316" s="109">
        <v>45162</v>
      </c>
      <c r="B316" s="105">
        <v>4455.16</v>
      </c>
      <c r="C316" s="105">
        <v>4458.3</v>
      </c>
      <c r="D316" s="105">
        <v>4375.55</v>
      </c>
      <c r="E316" s="105">
        <v>4376.3100000000004</v>
      </c>
      <c r="F316" s="105">
        <v>4376.3100000000004</v>
      </c>
      <c r="G316" s="106">
        <v>3723470000</v>
      </c>
      <c r="H316" s="107">
        <f t="shared" si="4"/>
        <v>-1.3458039995401232E-2</v>
      </c>
    </row>
    <row r="317" spans="1:8" ht="15">
      <c r="A317" s="109">
        <v>45161</v>
      </c>
      <c r="B317" s="105">
        <v>4396.4399999999996</v>
      </c>
      <c r="C317" s="105">
        <v>4443.18</v>
      </c>
      <c r="D317" s="105">
        <v>4396.4399999999996</v>
      </c>
      <c r="E317" s="105">
        <v>4436.01</v>
      </c>
      <c r="F317" s="105">
        <v>4436.01</v>
      </c>
      <c r="G317" s="106">
        <v>3837270000</v>
      </c>
      <c r="H317" s="107">
        <f t="shared" si="4"/>
        <v>1.1044888377340438E-2</v>
      </c>
    </row>
    <row r="318" spans="1:8" ht="15">
      <c r="A318" s="109">
        <v>45160</v>
      </c>
      <c r="B318" s="105">
        <v>4415.33</v>
      </c>
      <c r="C318" s="105">
        <v>4418.59</v>
      </c>
      <c r="D318" s="105">
        <v>4382.7700000000004</v>
      </c>
      <c r="E318" s="105">
        <v>4387.55</v>
      </c>
      <c r="F318" s="105">
        <v>4387.55</v>
      </c>
      <c r="G318" s="106">
        <v>3522760000</v>
      </c>
      <c r="H318" s="107">
        <f t="shared" si="4"/>
        <v>-2.777417910481742E-3</v>
      </c>
    </row>
    <row r="319" spans="1:8" ht="15">
      <c r="A319" s="109">
        <v>45159</v>
      </c>
      <c r="B319" s="105">
        <v>4380.28</v>
      </c>
      <c r="C319" s="105">
        <v>4407.55</v>
      </c>
      <c r="D319" s="105">
        <v>4360.3</v>
      </c>
      <c r="E319" s="105">
        <v>4399.7700000000004</v>
      </c>
      <c r="F319" s="105">
        <v>4399.7700000000004</v>
      </c>
      <c r="G319" s="106">
        <v>3726850000</v>
      </c>
      <c r="H319" s="107">
        <f t="shared" si="4"/>
        <v>6.8791750482298363E-3</v>
      </c>
    </row>
    <row r="320" spans="1:8" ht="15">
      <c r="A320" s="109">
        <v>45156</v>
      </c>
      <c r="B320" s="105">
        <v>4344.88</v>
      </c>
      <c r="C320" s="105">
        <v>4381.82</v>
      </c>
      <c r="D320" s="105">
        <v>4335.3100000000004</v>
      </c>
      <c r="E320" s="105">
        <v>4369.71</v>
      </c>
      <c r="F320" s="105">
        <v>4369.71</v>
      </c>
      <c r="G320" s="106">
        <v>3940400000</v>
      </c>
      <c r="H320" s="107">
        <f t="shared" si="4"/>
        <v>-1.4872916647590501E-4</v>
      </c>
    </row>
    <row r="321" spans="1:8" ht="15">
      <c r="A321" s="109">
        <v>45155</v>
      </c>
      <c r="B321" s="105">
        <v>4416.32</v>
      </c>
      <c r="C321" s="105">
        <v>4421.17</v>
      </c>
      <c r="D321" s="105">
        <v>4364.83</v>
      </c>
      <c r="E321" s="105">
        <v>4370.3599999999997</v>
      </c>
      <c r="F321" s="105">
        <v>4370.3599999999997</v>
      </c>
      <c r="G321" s="106">
        <v>3943700000</v>
      </c>
      <c r="H321" s="107">
        <f t="shared" si="4"/>
        <v>-7.7128643857295558E-3</v>
      </c>
    </row>
    <row r="322" spans="1:8" ht="15">
      <c r="A322" s="109">
        <v>45154</v>
      </c>
      <c r="B322" s="105">
        <v>4433.79</v>
      </c>
      <c r="C322" s="105">
        <v>4449.95</v>
      </c>
      <c r="D322" s="105">
        <v>4403.55</v>
      </c>
      <c r="E322" s="105">
        <v>4404.33</v>
      </c>
      <c r="F322" s="105">
        <v>4404.33</v>
      </c>
      <c r="G322" s="106">
        <v>3753910000</v>
      </c>
      <c r="H322" s="107">
        <f t="shared" si="4"/>
        <v>-7.5554433893813113E-3</v>
      </c>
    </row>
    <row r="323" spans="1:8" ht="15">
      <c r="A323" s="109">
        <v>45153</v>
      </c>
      <c r="B323" s="105">
        <v>4478.87</v>
      </c>
      <c r="C323" s="105">
        <v>4478.87</v>
      </c>
      <c r="D323" s="105">
        <v>4432.1899999999996</v>
      </c>
      <c r="E323" s="105">
        <v>4437.8599999999997</v>
      </c>
      <c r="F323" s="105">
        <v>4437.8599999999997</v>
      </c>
      <c r="G323" s="106">
        <v>3832250000</v>
      </c>
      <c r="H323" s="107">
        <f t="shared" ref="H323:H386" si="5">(F323-F324)/F324</f>
        <v>-1.1550831677699406E-2</v>
      </c>
    </row>
    <row r="324" spans="1:8" ht="15">
      <c r="A324" s="109">
        <v>45152</v>
      </c>
      <c r="B324" s="105">
        <v>4458.13</v>
      </c>
      <c r="C324" s="105">
        <v>4490.33</v>
      </c>
      <c r="D324" s="105">
        <v>4453.4399999999996</v>
      </c>
      <c r="E324" s="105">
        <v>4489.72</v>
      </c>
      <c r="F324" s="105">
        <v>4489.72</v>
      </c>
      <c r="G324" s="106">
        <v>3896410000</v>
      </c>
      <c r="H324" s="107">
        <f t="shared" si="5"/>
        <v>5.7503836202551653E-3</v>
      </c>
    </row>
    <row r="325" spans="1:8" ht="15">
      <c r="A325" s="109">
        <v>45149</v>
      </c>
      <c r="B325" s="105">
        <v>4450.6899999999996</v>
      </c>
      <c r="C325" s="105">
        <v>4476.2299999999996</v>
      </c>
      <c r="D325" s="105">
        <v>4443.9799999999996</v>
      </c>
      <c r="E325" s="105">
        <v>4464.05</v>
      </c>
      <c r="F325" s="105">
        <v>4464.05</v>
      </c>
      <c r="G325" s="106">
        <v>3753290000</v>
      </c>
      <c r="H325" s="107">
        <f t="shared" si="5"/>
        <v>-1.0696312010078132E-3</v>
      </c>
    </row>
    <row r="326" spans="1:8" ht="15">
      <c r="A326" s="109">
        <v>45148</v>
      </c>
      <c r="B326" s="105">
        <v>4487.16</v>
      </c>
      <c r="C326" s="105">
        <v>4527.37</v>
      </c>
      <c r="D326" s="105">
        <v>4457.92</v>
      </c>
      <c r="E326" s="105">
        <v>4468.83</v>
      </c>
      <c r="F326" s="105">
        <v>4468.83</v>
      </c>
      <c r="G326" s="106">
        <v>4504370000</v>
      </c>
      <c r="H326" s="107">
        <f t="shared" si="5"/>
        <v>2.5068771249698186E-4</v>
      </c>
    </row>
    <row r="327" spans="1:8" ht="15">
      <c r="A327" s="109">
        <v>45147</v>
      </c>
      <c r="B327" s="105">
        <v>4501.57</v>
      </c>
      <c r="C327" s="105">
        <v>4502.4399999999996</v>
      </c>
      <c r="D327" s="105">
        <v>4461.33</v>
      </c>
      <c r="E327" s="105">
        <v>4467.71</v>
      </c>
      <c r="F327" s="105">
        <v>4467.71</v>
      </c>
      <c r="G327" s="106">
        <v>3803100000</v>
      </c>
      <c r="H327" s="107">
        <f t="shared" si="5"/>
        <v>-7.0387475607750563E-3</v>
      </c>
    </row>
    <row r="328" spans="1:8" ht="15">
      <c r="A328" s="109">
        <v>45146</v>
      </c>
      <c r="B328" s="105">
        <v>4498.03</v>
      </c>
      <c r="C328" s="105">
        <v>4503.3100000000004</v>
      </c>
      <c r="D328" s="105">
        <v>4464.3900000000003</v>
      </c>
      <c r="E328" s="105">
        <v>4499.38</v>
      </c>
      <c r="F328" s="105">
        <v>4499.38</v>
      </c>
      <c r="G328" s="106">
        <v>3884910000</v>
      </c>
      <c r="H328" s="107">
        <f t="shared" si="5"/>
        <v>-4.218270022396998E-3</v>
      </c>
    </row>
    <row r="329" spans="1:8" ht="15">
      <c r="A329" s="109">
        <v>45145</v>
      </c>
      <c r="B329" s="105">
        <v>4491.58</v>
      </c>
      <c r="C329" s="105">
        <v>4519.84</v>
      </c>
      <c r="D329" s="105">
        <v>4491.1499999999996</v>
      </c>
      <c r="E329" s="105">
        <v>4518.4399999999996</v>
      </c>
      <c r="F329" s="105">
        <v>4518.4399999999996</v>
      </c>
      <c r="G329" s="106">
        <v>3493920000</v>
      </c>
      <c r="H329" s="107">
        <f t="shared" si="5"/>
        <v>9.024057453835695E-3</v>
      </c>
    </row>
    <row r="330" spans="1:8" ht="15">
      <c r="A330" s="109">
        <v>45142</v>
      </c>
      <c r="B330" s="105">
        <v>4513.96</v>
      </c>
      <c r="C330" s="105">
        <v>4540.34</v>
      </c>
      <c r="D330" s="105">
        <v>4474.55</v>
      </c>
      <c r="E330" s="105">
        <v>4478.03</v>
      </c>
      <c r="F330" s="105">
        <v>4478.03</v>
      </c>
      <c r="G330" s="106">
        <v>4143310000</v>
      </c>
      <c r="H330" s="107">
        <f t="shared" si="5"/>
        <v>-5.2999962238083516E-3</v>
      </c>
    </row>
    <row r="331" spans="1:8" ht="15">
      <c r="A331" s="109">
        <v>45141</v>
      </c>
      <c r="B331" s="105">
        <v>4494.2700000000004</v>
      </c>
      <c r="C331" s="105">
        <v>4519.49</v>
      </c>
      <c r="D331" s="105">
        <v>4485.54</v>
      </c>
      <c r="E331" s="105">
        <v>4501.8900000000003</v>
      </c>
      <c r="F331" s="105">
        <v>4501.8900000000003</v>
      </c>
      <c r="G331" s="106">
        <v>4149120000</v>
      </c>
      <c r="H331" s="107">
        <f t="shared" si="5"/>
        <v>-2.5479739176096014E-3</v>
      </c>
    </row>
    <row r="332" spans="1:8" ht="15">
      <c r="A332" s="109">
        <v>45140</v>
      </c>
      <c r="B332" s="105">
        <v>4550.93</v>
      </c>
      <c r="C332" s="105">
        <v>4550.93</v>
      </c>
      <c r="D332" s="105">
        <v>4505.75</v>
      </c>
      <c r="E332" s="105">
        <v>4513.3900000000003</v>
      </c>
      <c r="F332" s="105">
        <v>4513.3900000000003</v>
      </c>
      <c r="G332" s="106">
        <v>4270710000</v>
      </c>
      <c r="H332" s="107">
        <f t="shared" si="5"/>
        <v>-1.3839575417382987E-2</v>
      </c>
    </row>
    <row r="333" spans="1:8" ht="15">
      <c r="A333" s="109">
        <v>45139</v>
      </c>
      <c r="B333" s="105">
        <v>4578.83</v>
      </c>
      <c r="C333" s="105">
        <v>4584.62</v>
      </c>
      <c r="D333" s="105">
        <v>4567.53</v>
      </c>
      <c r="E333" s="105">
        <v>4576.7299999999996</v>
      </c>
      <c r="F333" s="105">
        <v>4576.7299999999996</v>
      </c>
      <c r="G333" s="106">
        <v>4042370000</v>
      </c>
      <c r="H333" s="107">
        <f t="shared" si="5"/>
        <v>-2.6650918726684202E-3</v>
      </c>
    </row>
    <row r="334" spans="1:8" ht="15">
      <c r="A334" s="109">
        <v>45138</v>
      </c>
      <c r="B334" s="105">
        <v>4584.82</v>
      </c>
      <c r="C334" s="105">
        <v>4594.22</v>
      </c>
      <c r="D334" s="105">
        <v>4573.1400000000003</v>
      </c>
      <c r="E334" s="105">
        <v>4588.96</v>
      </c>
      <c r="F334" s="105">
        <v>4588.96</v>
      </c>
      <c r="G334" s="106">
        <v>4503600000</v>
      </c>
      <c r="H334" s="107">
        <f t="shared" si="5"/>
        <v>1.4687171966488966E-3</v>
      </c>
    </row>
    <row r="335" spans="1:8" ht="15">
      <c r="A335" s="109">
        <v>45135</v>
      </c>
      <c r="B335" s="105">
        <v>4565.75</v>
      </c>
      <c r="C335" s="105">
        <v>4590.16</v>
      </c>
      <c r="D335" s="105">
        <v>4564.01</v>
      </c>
      <c r="E335" s="105">
        <v>4582.2299999999996</v>
      </c>
      <c r="F335" s="105">
        <v>4582.2299999999996</v>
      </c>
      <c r="G335" s="106">
        <v>3981010000</v>
      </c>
      <c r="H335" s="107">
        <f t="shared" si="5"/>
        <v>9.8778818753429178E-3</v>
      </c>
    </row>
    <row r="336" spans="1:8" ht="15">
      <c r="A336" s="109">
        <v>45134</v>
      </c>
      <c r="B336" s="105">
        <v>4598.26</v>
      </c>
      <c r="C336" s="105">
        <v>4607.07</v>
      </c>
      <c r="D336" s="105">
        <v>4528.5600000000004</v>
      </c>
      <c r="E336" s="105">
        <v>4537.41</v>
      </c>
      <c r="F336" s="105">
        <v>4537.41</v>
      </c>
      <c r="G336" s="106">
        <v>4553210000</v>
      </c>
      <c r="H336" s="107">
        <f t="shared" si="5"/>
        <v>-6.4247002791920178E-3</v>
      </c>
    </row>
    <row r="337" spans="1:8" ht="15">
      <c r="A337" s="109">
        <v>45133</v>
      </c>
      <c r="B337" s="105">
        <v>4558.96</v>
      </c>
      <c r="C337" s="105">
        <v>4582.47</v>
      </c>
      <c r="D337" s="105">
        <v>4547.58</v>
      </c>
      <c r="E337" s="105">
        <v>4566.75</v>
      </c>
      <c r="F337" s="105">
        <v>4566.75</v>
      </c>
      <c r="G337" s="106">
        <v>3990290000</v>
      </c>
      <c r="H337" s="107">
        <f t="shared" si="5"/>
        <v>-1.554474478156429E-4</v>
      </c>
    </row>
    <row r="338" spans="1:8" ht="15">
      <c r="A338" s="109">
        <v>45132</v>
      </c>
      <c r="B338" s="105">
        <v>4555.1899999999996</v>
      </c>
      <c r="C338" s="105">
        <v>4580.62</v>
      </c>
      <c r="D338" s="105">
        <v>4552.42</v>
      </c>
      <c r="E338" s="105">
        <v>4567.46</v>
      </c>
      <c r="F338" s="105">
        <v>4567.46</v>
      </c>
      <c r="G338" s="106">
        <v>3812470000</v>
      </c>
      <c r="H338" s="107">
        <f t="shared" si="5"/>
        <v>2.8147120299298533E-3</v>
      </c>
    </row>
    <row r="339" spans="1:8" ht="15">
      <c r="A339" s="109">
        <v>45131</v>
      </c>
      <c r="B339" s="105">
        <v>4543.3900000000003</v>
      </c>
      <c r="C339" s="105">
        <v>4563.41</v>
      </c>
      <c r="D339" s="105">
        <v>4541.29</v>
      </c>
      <c r="E339" s="105">
        <v>4554.6400000000003</v>
      </c>
      <c r="F339" s="105">
        <v>4554.6400000000003</v>
      </c>
      <c r="G339" s="106">
        <v>3856250000</v>
      </c>
      <c r="H339" s="107">
        <f t="shared" si="5"/>
        <v>4.0340891555747981E-3</v>
      </c>
    </row>
    <row r="340" spans="1:8" ht="15">
      <c r="A340" s="109">
        <v>45128</v>
      </c>
      <c r="B340" s="105">
        <v>4550.16</v>
      </c>
      <c r="C340" s="105">
        <v>4555</v>
      </c>
      <c r="D340" s="105">
        <v>4535.79</v>
      </c>
      <c r="E340" s="105">
        <v>4536.34</v>
      </c>
      <c r="F340" s="105">
        <v>4536.34</v>
      </c>
      <c r="G340" s="106">
        <v>3570190000</v>
      </c>
      <c r="H340" s="107">
        <f t="shared" si="5"/>
        <v>3.2415482693004533E-4</v>
      </c>
    </row>
    <row r="341" spans="1:8" ht="15">
      <c r="A341" s="109">
        <v>45127</v>
      </c>
      <c r="B341" s="105">
        <v>4554.38</v>
      </c>
      <c r="C341" s="105">
        <v>4564.74</v>
      </c>
      <c r="D341" s="105">
        <v>4527.5600000000004</v>
      </c>
      <c r="E341" s="105">
        <v>4534.87</v>
      </c>
      <c r="F341" s="105">
        <v>4534.87</v>
      </c>
      <c r="G341" s="106">
        <v>3761770000</v>
      </c>
      <c r="H341" s="107">
        <f t="shared" si="5"/>
        <v>-6.7568751478409459E-3</v>
      </c>
    </row>
    <row r="342" spans="1:8" ht="15">
      <c r="A342" s="109">
        <v>45126</v>
      </c>
      <c r="B342" s="105">
        <v>4563.87</v>
      </c>
      <c r="C342" s="105">
        <v>4578.43</v>
      </c>
      <c r="D342" s="105">
        <v>4557.4799999999996</v>
      </c>
      <c r="E342" s="105">
        <v>4565.72</v>
      </c>
      <c r="F342" s="105">
        <v>4565.72</v>
      </c>
      <c r="G342" s="106">
        <v>4115670000</v>
      </c>
      <c r="H342" s="107">
        <f t="shared" si="5"/>
        <v>2.3578588709501891E-3</v>
      </c>
    </row>
    <row r="343" spans="1:8" ht="15">
      <c r="A343" s="109">
        <v>45125</v>
      </c>
      <c r="B343" s="105">
        <v>4521.78</v>
      </c>
      <c r="C343" s="105">
        <v>4562.3</v>
      </c>
      <c r="D343" s="105">
        <v>4514.59</v>
      </c>
      <c r="E343" s="105">
        <v>4554.9799999999996</v>
      </c>
      <c r="F343" s="105">
        <v>4554.9799999999996</v>
      </c>
      <c r="G343" s="106">
        <v>4090010000</v>
      </c>
      <c r="H343" s="107">
        <f t="shared" si="5"/>
        <v>7.1172882225351165E-3</v>
      </c>
    </row>
    <row r="344" spans="1:8" ht="15">
      <c r="A344" s="109">
        <v>45124</v>
      </c>
      <c r="B344" s="105">
        <v>4508.8599999999997</v>
      </c>
      <c r="C344" s="105">
        <v>4532.8500000000004</v>
      </c>
      <c r="D344" s="105">
        <v>4504.8999999999996</v>
      </c>
      <c r="E344" s="105">
        <v>4522.79</v>
      </c>
      <c r="F344" s="105">
        <v>4522.79</v>
      </c>
      <c r="G344" s="106">
        <v>3538240000</v>
      </c>
      <c r="H344" s="107">
        <f t="shared" si="5"/>
        <v>3.8553564373576469E-3</v>
      </c>
    </row>
    <row r="345" spans="1:8" ht="15">
      <c r="A345" s="109">
        <v>45121</v>
      </c>
      <c r="B345" s="105">
        <v>4514.6099999999997</v>
      </c>
      <c r="C345" s="105">
        <v>4527.76</v>
      </c>
      <c r="D345" s="105">
        <v>4499.5600000000004</v>
      </c>
      <c r="E345" s="105">
        <v>4505.42</v>
      </c>
      <c r="F345" s="105">
        <v>4505.42</v>
      </c>
      <c r="G345" s="106">
        <v>3647450000</v>
      </c>
      <c r="H345" s="107">
        <f t="shared" si="5"/>
        <v>-1.0243811584819405E-3</v>
      </c>
    </row>
    <row r="346" spans="1:8" ht="15">
      <c r="A346" s="109">
        <v>45120</v>
      </c>
      <c r="B346" s="105">
        <v>4491.5</v>
      </c>
      <c r="C346" s="105">
        <v>4517.38</v>
      </c>
      <c r="D346" s="105">
        <v>4489.3599999999997</v>
      </c>
      <c r="E346" s="105">
        <v>4510.04</v>
      </c>
      <c r="F346" s="105">
        <v>4510.04</v>
      </c>
      <c r="G346" s="106">
        <v>3839530000</v>
      </c>
      <c r="H346" s="107">
        <f t="shared" si="5"/>
        <v>8.470179957783288E-3</v>
      </c>
    </row>
    <row r="347" spans="1:8" ht="15">
      <c r="A347" s="109">
        <v>45119</v>
      </c>
      <c r="B347" s="105">
        <v>4467.6899999999996</v>
      </c>
      <c r="C347" s="105">
        <v>4488.34</v>
      </c>
      <c r="D347" s="105">
        <v>4463.2299999999996</v>
      </c>
      <c r="E347" s="105">
        <v>4472.16</v>
      </c>
      <c r="F347" s="105">
        <v>4472.16</v>
      </c>
      <c r="G347" s="106">
        <v>3920290000</v>
      </c>
      <c r="H347" s="107">
        <f t="shared" si="5"/>
        <v>7.4111451007599543E-3</v>
      </c>
    </row>
    <row r="348" spans="1:8" ht="15">
      <c r="A348" s="109">
        <v>45118</v>
      </c>
      <c r="B348" s="105">
        <v>4415.55</v>
      </c>
      <c r="C348" s="105">
        <v>4443.6400000000003</v>
      </c>
      <c r="D348" s="105">
        <v>4408.46</v>
      </c>
      <c r="E348" s="105">
        <v>4439.26</v>
      </c>
      <c r="F348" s="105">
        <v>4439.26</v>
      </c>
      <c r="G348" s="106">
        <v>3624220000</v>
      </c>
      <c r="H348" s="107">
        <f t="shared" si="5"/>
        <v>6.7422151567174899E-3</v>
      </c>
    </row>
    <row r="349" spans="1:8" ht="15">
      <c r="A349" s="109">
        <v>45117</v>
      </c>
      <c r="B349" s="105">
        <v>4394.2299999999996</v>
      </c>
      <c r="C349" s="105">
        <v>4412.6000000000004</v>
      </c>
      <c r="D349" s="105">
        <v>4389.92</v>
      </c>
      <c r="E349" s="105">
        <v>4409.53</v>
      </c>
      <c r="F349" s="105">
        <v>4409.53</v>
      </c>
      <c r="G349" s="106">
        <v>3429600000</v>
      </c>
      <c r="H349" s="107">
        <f t="shared" si="5"/>
        <v>2.4051194034939993E-3</v>
      </c>
    </row>
    <row r="350" spans="1:8" ht="15">
      <c r="A350" s="109">
        <v>45114</v>
      </c>
      <c r="B350" s="105">
        <v>4404.54</v>
      </c>
      <c r="C350" s="105">
        <v>4440.3900000000003</v>
      </c>
      <c r="D350" s="105">
        <v>4397.3999999999996</v>
      </c>
      <c r="E350" s="105">
        <v>4398.95</v>
      </c>
      <c r="F350" s="105">
        <v>4398.95</v>
      </c>
      <c r="G350" s="106">
        <v>3630480000</v>
      </c>
      <c r="H350" s="107">
        <f t="shared" si="5"/>
        <v>-2.8651801277998017E-3</v>
      </c>
    </row>
    <row r="351" spans="1:8" ht="15">
      <c r="A351" s="109">
        <v>45113</v>
      </c>
      <c r="B351" s="105">
        <v>4422.62</v>
      </c>
      <c r="C351" s="105">
        <v>4422.62</v>
      </c>
      <c r="D351" s="105">
        <v>4385.05</v>
      </c>
      <c r="E351" s="105">
        <v>4411.59</v>
      </c>
      <c r="F351" s="105">
        <v>4411.59</v>
      </c>
      <c r="G351" s="106">
        <v>3682020000</v>
      </c>
      <c r="H351" s="107">
        <f t="shared" si="5"/>
        <v>-7.9225154155103117E-3</v>
      </c>
    </row>
    <row r="352" spans="1:8" ht="15">
      <c r="A352" s="109">
        <v>45112</v>
      </c>
      <c r="B352" s="105">
        <v>4442.04</v>
      </c>
      <c r="C352" s="105">
        <v>4454.0600000000004</v>
      </c>
      <c r="D352" s="105">
        <v>4436.6099999999997</v>
      </c>
      <c r="E352" s="105">
        <v>4446.82</v>
      </c>
      <c r="F352" s="105">
        <v>4446.82</v>
      </c>
      <c r="G352" s="106">
        <v>3482620000</v>
      </c>
      <c r="H352" s="107">
        <f t="shared" si="5"/>
        <v>-1.9683139606652398E-3</v>
      </c>
    </row>
    <row r="353" spans="1:8" ht="15">
      <c r="A353" s="109">
        <v>45110</v>
      </c>
      <c r="B353" s="105">
        <v>4450.4799999999996</v>
      </c>
      <c r="C353" s="105">
        <v>4456.46</v>
      </c>
      <c r="D353" s="105">
        <v>4442.29</v>
      </c>
      <c r="E353" s="105">
        <v>4455.59</v>
      </c>
      <c r="F353" s="105">
        <v>4455.59</v>
      </c>
      <c r="G353" s="106">
        <v>2034280000</v>
      </c>
      <c r="H353" s="107">
        <f t="shared" si="5"/>
        <v>1.1706865481150006E-3</v>
      </c>
    </row>
    <row r="354" spans="1:8" ht="15">
      <c r="A354" s="109">
        <v>45107</v>
      </c>
      <c r="B354" s="105">
        <v>4422.4399999999996</v>
      </c>
      <c r="C354" s="105">
        <v>4458.4799999999996</v>
      </c>
      <c r="D354" s="105">
        <v>4422.4399999999996</v>
      </c>
      <c r="E354" s="105">
        <v>4450.38</v>
      </c>
      <c r="F354" s="105">
        <v>4450.38</v>
      </c>
      <c r="G354" s="106">
        <v>3923450000</v>
      </c>
      <c r="H354" s="107">
        <f t="shared" si="5"/>
        <v>1.2269017659743E-2</v>
      </c>
    </row>
    <row r="355" spans="1:8" ht="15">
      <c r="A355" s="109">
        <v>45106</v>
      </c>
      <c r="B355" s="105">
        <v>4374.9399999999996</v>
      </c>
      <c r="C355" s="105">
        <v>4398.3900000000003</v>
      </c>
      <c r="D355" s="105">
        <v>4371.97</v>
      </c>
      <c r="E355" s="105">
        <v>4396.4399999999996</v>
      </c>
      <c r="F355" s="105">
        <v>4396.4399999999996</v>
      </c>
      <c r="G355" s="106">
        <v>3696660000</v>
      </c>
      <c r="H355" s="107">
        <f t="shared" si="5"/>
        <v>4.4735266835128221E-3</v>
      </c>
    </row>
    <row r="356" spans="1:8" ht="15">
      <c r="A356" s="109">
        <v>45105</v>
      </c>
      <c r="B356" s="105">
        <v>4367.4799999999996</v>
      </c>
      <c r="C356" s="105">
        <v>4390.3500000000004</v>
      </c>
      <c r="D356" s="105">
        <v>4360.22</v>
      </c>
      <c r="E356" s="105">
        <v>4376.8599999999997</v>
      </c>
      <c r="F356" s="105">
        <v>4376.8599999999997</v>
      </c>
      <c r="G356" s="106">
        <v>3739330000</v>
      </c>
      <c r="H356" s="107">
        <f t="shared" si="5"/>
        <v>-3.5400978894168934E-4</v>
      </c>
    </row>
    <row r="357" spans="1:8" ht="15">
      <c r="A357" s="109">
        <v>45104</v>
      </c>
      <c r="B357" s="105">
        <v>4337.3599999999997</v>
      </c>
      <c r="C357" s="105">
        <v>4384.42</v>
      </c>
      <c r="D357" s="105">
        <v>4335</v>
      </c>
      <c r="E357" s="105">
        <v>4378.41</v>
      </c>
      <c r="F357" s="105">
        <v>4378.41</v>
      </c>
      <c r="G357" s="106">
        <v>3573500000</v>
      </c>
      <c r="H357" s="107">
        <f t="shared" si="5"/>
        <v>1.1455777787018206E-2</v>
      </c>
    </row>
    <row r="358" spans="1:8" ht="15">
      <c r="A358" s="109">
        <v>45103</v>
      </c>
      <c r="B358" s="105">
        <v>4344.84</v>
      </c>
      <c r="C358" s="105">
        <v>4362.0600000000004</v>
      </c>
      <c r="D358" s="105">
        <v>4328.08</v>
      </c>
      <c r="E358" s="105">
        <v>4328.82</v>
      </c>
      <c r="F358" s="105">
        <v>4328.82</v>
      </c>
      <c r="G358" s="106">
        <v>3415030000</v>
      </c>
      <c r="H358" s="107">
        <f t="shared" si="5"/>
        <v>-4.4867799822001135E-3</v>
      </c>
    </row>
    <row r="359" spans="1:8" ht="15">
      <c r="A359" s="109">
        <v>45100</v>
      </c>
      <c r="B359" s="105">
        <v>4354.17</v>
      </c>
      <c r="C359" s="105">
        <v>4366.55</v>
      </c>
      <c r="D359" s="105">
        <v>4341.34</v>
      </c>
      <c r="E359" s="105">
        <v>4348.33</v>
      </c>
      <c r="F359" s="105">
        <v>4348.33</v>
      </c>
      <c r="G359" s="106">
        <v>6053620000</v>
      </c>
      <c r="H359" s="107">
        <f t="shared" si="5"/>
        <v>-7.6587956338475859E-3</v>
      </c>
    </row>
    <row r="360" spans="1:8" ht="15">
      <c r="A360" s="109">
        <v>45099</v>
      </c>
      <c r="B360" s="105">
        <v>4355.3999999999996</v>
      </c>
      <c r="C360" s="105">
        <v>4382.25</v>
      </c>
      <c r="D360" s="105">
        <v>4351.82</v>
      </c>
      <c r="E360" s="105">
        <v>4381.8900000000003</v>
      </c>
      <c r="F360" s="105">
        <v>4381.8900000000003</v>
      </c>
      <c r="G360" s="106">
        <v>3511000000</v>
      </c>
      <c r="H360" s="107">
        <f t="shared" si="5"/>
        <v>3.7107536265746604E-3</v>
      </c>
    </row>
    <row r="361" spans="1:8" ht="15">
      <c r="A361" s="109">
        <v>45098</v>
      </c>
      <c r="B361" s="105">
        <v>4380.01</v>
      </c>
      <c r="C361" s="105">
        <v>4386.22</v>
      </c>
      <c r="D361" s="105">
        <v>4360.1400000000003</v>
      </c>
      <c r="E361" s="105">
        <v>4365.6899999999996</v>
      </c>
      <c r="F361" s="105">
        <v>4365.6899999999996</v>
      </c>
      <c r="G361" s="106">
        <v>3709330000</v>
      </c>
      <c r="H361" s="107">
        <f t="shared" si="5"/>
        <v>-5.2452770859775276E-3</v>
      </c>
    </row>
    <row r="362" spans="1:8" ht="15">
      <c r="A362" s="109">
        <v>45097</v>
      </c>
      <c r="B362" s="105">
        <v>4396.1099999999997</v>
      </c>
      <c r="C362" s="105">
        <v>4400.1499999999996</v>
      </c>
      <c r="D362" s="105">
        <v>4367.1899999999996</v>
      </c>
      <c r="E362" s="105">
        <v>4388.71</v>
      </c>
      <c r="F362" s="105">
        <v>4388.71</v>
      </c>
      <c r="G362" s="106">
        <v>4055790000</v>
      </c>
      <c r="H362" s="107">
        <f t="shared" si="5"/>
        <v>-4.7351341054383987E-3</v>
      </c>
    </row>
    <row r="363" spans="1:8" ht="15">
      <c r="A363" s="109">
        <v>45093</v>
      </c>
      <c r="B363" s="105">
        <v>4440.95</v>
      </c>
      <c r="C363" s="105">
        <v>4448.47</v>
      </c>
      <c r="D363" s="105">
        <v>4407.4399999999996</v>
      </c>
      <c r="E363" s="105">
        <v>4409.59</v>
      </c>
      <c r="F363" s="105">
        <v>4409.59</v>
      </c>
      <c r="G363" s="106">
        <v>6848600000</v>
      </c>
      <c r="H363" s="107">
        <f t="shared" si="5"/>
        <v>-3.671619398803391E-3</v>
      </c>
    </row>
    <row r="364" spans="1:8" ht="15">
      <c r="A364" s="109">
        <v>45092</v>
      </c>
      <c r="B364" s="105">
        <v>4365.33</v>
      </c>
      <c r="C364" s="105">
        <v>4439.2</v>
      </c>
      <c r="D364" s="105">
        <v>4362.6000000000004</v>
      </c>
      <c r="E364" s="105">
        <v>4425.84</v>
      </c>
      <c r="F364" s="105">
        <v>4425.84</v>
      </c>
      <c r="G364" s="106">
        <v>4176690000</v>
      </c>
      <c r="H364" s="107">
        <f t="shared" si="5"/>
        <v>1.2178136985173546E-2</v>
      </c>
    </row>
    <row r="365" spans="1:8" ht="15">
      <c r="A365" s="109">
        <v>45091</v>
      </c>
      <c r="B365" s="105">
        <v>4366.29</v>
      </c>
      <c r="C365" s="105">
        <v>4391.82</v>
      </c>
      <c r="D365" s="105">
        <v>4337.8500000000004</v>
      </c>
      <c r="E365" s="105">
        <v>4372.59</v>
      </c>
      <c r="F365" s="105">
        <v>4372.59</v>
      </c>
      <c r="G365" s="106">
        <v>4252110000</v>
      </c>
      <c r="H365" s="107">
        <f t="shared" si="5"/>
        <v>8.1940760034880373E-4</v>
      </c>
    </row>
    <row r="366" spans="1:8" ht="15">
      <c r="A366" s="109">
        <v>45090</v>
      </c>
      <c r="B366" s="105">
        <v>4352.6099999999997</v>
      </c>
      <c r="C366" s="105">
        <v>4375.37</v>
      </c>
      <c r="D366" s="105">
        <v>4349.3100000000004</v>
      </c>
      <c r="E366" s="105">
        <v>4369.01</v>
      </c>
      <c r="F366" s="105">
        <v>4369.01</v>
      </c>
      <c r="G366" s="106">
        <v>4275400000</v>
      </c>
      <c r="H366" s="107">
        <f t="shared" si="5"/>
        <v>6.9325847616808576E-3</v>
      </c>
    </row>
    <row r="367" spans="1:8" ht="15">
      <c r="A367" s="109">
        <v>45089</v>
      </c>
      <c r="B367" s="105">
        <v>4308.32</v>
      </c>
      <c r="C367" s="105">
        <v>4340.13</v>
      </c>
      <c r="D367" s="105">
        <v>4304.37</v>
      </c>
      <c r="E367" s="105">
        <v>4338.93</v>
      </c>
      <c r="F367" s="105">
        <v>4338.93</v>
      </c>
      <c r="G367" s="106">
        <v>3945670000</v>
      </c>
      <c r="H367" s="107">
        <f t="shared" si="5"/>
        <v>9.3210758201012871E-3</v>
      </c>
    </row>
    <row r="368" spans="1:8" ht="15">
      <c r="A368" s="109">
        <v>45086</v>
      </c>
      <c r="B368" s="105">
        <v>4304.88</v>
      </c>
      <c r="C368" s="105">
        <v>4322.62</v>
      </c>
      <c r="D368" s="105">
        <v>4291.7</v>
      </c>
      <c r="E368" s="105">
        <v>4298.8599999999997</v>
      </c>
      <c r="F368" s="105">
        <v>4298.8599999999997</v>
      </c>
      <c r="G368" s="106">
        <v>3786510000</v>
      </c>
      <c r="H368" s="107">
        <f t="shared" si="5"/>
        <v>1.1481323635921827E-3</v>
      </c>
    </row>
    <row r="369" spans="1:8" ht="15">
      <c r="A369" s="109">
        <v>45085</v>
      </c>
      <c r="B369" s="105">
        <v>4268.6899999999996</v>
      </c>
      <c r="C369" s="105">
        <v>4298.01</v>
      </c>
      <c r="D369" s="105">
        <v>4261.07</v>
      </c>
      <c r="E369" s="105">
        <v>4293.93</v>
      </c>
      <c r="F369" s="105">
        <v>4293.93</v>
      </c>
      <c r="G369" s="106">
        <v>3826740000</v>
      </c>
      <c r="H369" s="107">
        <f t="shared" si="5"/>
        <v>6.1886060287942067E-3</v>
      </c>
    </row>
    <row r="370" spans="1:8" ht="15">
      <c r="A370" s="109">
        <v>45084</v>
      </c>
      <c r="B370" s="105">
        <v>4285.47</v>
      </c>
      <c r="C370" s="105">
        <v>4299.1899999999996</v>
      </c>
      <c r="D370" s="105">
        <v>4263.96</v>
      </c>
      <c r="E370" s="105">
        <v>4267.5200000000004</v>
      </c>
      <c r="F370" s="105">
        <v>4267.5200000000004</v>
      </c>
      <c r="G370" s="106">
        <v>4537800000</v>
      </c>
      <c r="H370" s="107">
        <f t="shared" si="5"/>
        <v>-3.8119915496574171E-3</v>
      </c>
    </row>
    <row r="371" spans="1:8" ht="15">
      <c r="A371" s="109">
        <v>45083</v>
      </c>
      <c r="B371" s="105">
        <v>4271.34</v>
      </c>
      <c r="C371" s="105">
        <v>4288.33</v>
      </c>
      <c r="D371" s="105">
        <v>4263.09</v>
      </c>
      <c r="E371" s="105">
        <v>4283.8500000000004</v>
      </c>
      <c r="F371" s="105">
        <v>4283.8500000000004</v>
      </c>
      <c r="G371" s="106">
        <v>3996560000</v>
      </c>
      <c r="H371" s="107">
        <f t="shared" si="5"/>
        <v>2.35388261940816E-3</v>
      </c>
    </row>
    <row r="372" spans="1:8" ht="15">
      <c r="A372" s="109">
        <v>45082</v>
      </c>
      <c r="B372" s="105">
        <v>4282.99</v>
      </c>
      <c r="C372" s="105">
        <v>4299.28</v>
      </c>
      <c r="D372" s="105">
        <v>4266.82</v>
      </c>
      <c r="E372" s="105">
        <v>4273.79</v>
      </c>
      <c r="F372" s="105">
        <v>4273.79</v>
      </c>
      <c r="G372" s="106">
        <v>3813290000</v>
      </c>
      <c r="H372" s="107">
        <f t="shared" si="5"/>
        <v>-2.0035634473433935E-3</v>
      </c>
    </row>
    <row r="373" spans="1:8" ht="15">
      <c r="A373" s="109">
        <v>45079</v>
      </c>
      <c r="B373" s="105">
        <v>4241.01</v>
      </c>
      <c r="C373" s="105">
        <v>4290.67</v>
      </c>
      <c r="D373" s="105">
        <v>4241.01</v>
      </c>
      <c r="E373" s="105">
        <v>4282.37</v>
      </c>
      <c r="F373" s="105">
        <v>4282.37</v>
      </c>
      <c r="G373" s="106">
        <v>4454200000</v>
      </c>
      <c r="H373" s="107">
        <f t="shared" si="5"/>
        <v>1.4534401637518762E-2</v>
      </c>
    </row>
    <row r="374" spans="1:8" ht="15">
      <c r="A374" s="109">
        <v>45078</v>
      </c>
      <c r="B374" s="105">
        <v>4183.03</v>
      </c>
      <c r="C374" s="105">
        <v>4232.43</v>
      </c>
      <c r="D374" s="105">
        <v>4171.6400000000003</v>
      </c>
      <c r="E374" s="105">
        <v>4221.0200000000004</v>
      </c>
      <c r="F374" s="105">
        <v>4221.0200000000004</v>
      </c>
      <c r="G374" s="106">
        <v>4391860000</v>
      </c>
      <c r="H374" s="107">
        <f t="shared" si="5"/>
        <v>9.8544677654355591E-3</v>
      </c>
    </row>
    <row r="375" spans="1:8" ht="15">
      <c r="A375" s="109">
        <v>45077</v>
      </c>
      <c r="B375" s="105">
        <v>4190.74</v>
      </c>
      <c r="C375" s="105">
        <v>4195.4399999999996</v>
      </c>
      <c r="D375" s="105">
        <v>4166.1499999999996</v>
      </c>
      <c r="E375" s="105">
        <v>4179.83</v>
      </c>
      <c r="F375" s="105">
        <v>4179.83</v>
      </c>
      <c r="G375" s="106">
        <v>5980670000</v>
      </c>
      <c r="H375" s="107">
        <f t="shared" si="5"/>
        <v>-6.1086381707851842E-3</v>
      </c>
    </row>
    <row r="376" spans="1:8" ht="15">
      <c r="A376" s="109">
        <v>45076</v>
      </c>
      <c r="B376" s="105">
        <v>4226.71</v>
      </c>
      <c r="C376" s="105">
        <v>4231.1000000000004</v>
      </c>
      <c r="D376" s="105">
        <v>4192.18</v>
      </c>
      <c r="E376" s="105">
        <v>4205.5200000000004</v>
      </c>
      <c r="F376" s="105">
        <v>4205.5200000000004</v>
      </c>
      <c r="G376" s="106">
        <v>4228510000</v>
      </c>
      <c r="H376" s="107">
        <f t="shared" si="5"/>
        <v>1.6645067709904639E-5</v>
      </c>
    </row>
    <row r="377" spans="1:8" ht="15">
      <c r="A377" s="109">
        <v>45072</v>
      </c>
      <c r="B377" s="105">
        <v>4156.16</v>
      </c>
      <c r="C377" s="105">
        <v>4212.87</v>
      </c>
      <c r="D377" s="105">
        <v>4156.16</v>
      </c>
      <c r="E377" s="105">
        <v>4205.45</v>
      </c>
      <c r="F377" s="105">
        <v>4205.45</v>
      </c>
      <c r="G377" s="106">
        <v>3715460000</v>
      </c>
      <c r="H377" s="107">
        <f t="shared" si="5"/>
        <v>1.3048987300302576E-2</v>
      </c>
    </row>
    <row r="378" spans="1:8" ht="15">
      <c r="A378" s="109">
        <v>45071</v>
      </c>
      <c r="B378" s="105">
        <v>4155.71</v>
      </c>
      <c r="C378" s="105">
        <v>4165.74</v>
      </c>
      <c r="D378" s="105">
        <v>4129.7299999999996</v>
      </c>
      <c r="E378" s="105">
        <v>4151.28</v>
      </c>
      <c r="F378" s="105">
        <v>4151.28</v>
      </c>
      <c r="G378" s="106">
        <v>4147760000</v>
      </c>
      <c r="H378" s="107">
        <f t="shared" si="5"/>
        <v>8.757690924466122E-3</v>
      </c>
    </row>
    <row r="379" spans="1:8" ht="15">
      <c r="A379" s="109">
        <v>45070</v>
      </c>
      <c r="B379" s="105">
        <v>4132.96</v>
      </c>
      <c r="C379" s="105">
        <v>4132.96</v>
      </c>
      <c r="D379" s="105">
        <v>4103.9799999999996</v>
      </c>
      <c r="E379" s="105">
        <v>4115.24</v>
      </c>
      <c r="F379" s="105">
        <v>4115.24</v>
      </c>
      <c r="G379" s="106">
        <v>3739160000</v>
      </c>
      <c r="H379" s="107">
        <f t="shared" si="5"/>
        <v>-7.3186381640205104E-3</v>
      </c>
    </row>
    <row r="380" spans="1:8" ht="15">
      <c r="A380" s="109">
        <v>45069</v>
      </c>
      <c r="B380" s="105">
        <v>4176.8</v>
      </c>
      <c r="C380" s="105">
        <v>4185.68</v>
      </c>
      <c r="D380" s="105">
        <v>4142.54</v>
      </c>
      <c r="E380" s="105">
        <v>4145.58</v>
      </c>
      <c r="F380" s="105">
        <v>4145.58</v>
      </c>
      <c r="G380" s="106">
        <v>4155320000</v>
      </c>
      <c r="H380" s="107">
        <f t="shared" si="5"/>
        <v>-1.1222073018606503E-2</v>
      </c>
    </row>
    <row r="381" spans="1:8" ht="15">
      <c r="A381" s="109">
        <v>45068</v>
      </c>
      <c r="B381" s="105">
        <v>4190.78</v>
      </c>
      <c r="C381" s="105">
        <v>4209.22</v>
      </c>
      <c r="D381" s="105">
        <v>4179.68</v>
      </c>
      <c r="E381" s="105">
        <v>4192.63</v>
      </c>
      <c r="F381" s="105">
        <v>4192.63</v>
      </c>
      <c r="G381" s="106">
        <v>3728520000</v>
      </c>
      <c r="H381" s="107">
        <f t="shared" si="5"/>
        <v>1.5505799168902184E-4</v>
      </c>
    </row>
    <row r="382" spans="1:8" ht="15">
      <c r="A382" s="109">
        <v>45065</v>
      </c>
      <c r="B382" s="105">
        <v>4204.1499999999996</v>
      </c>
      <c r="C382" s="105">
        <v>4212.91</v>
      </c>
      <c r="D382" s="105">
        <v>4180.2</v>
      </c>
      <c r="E382" s="105">
        <v>4191.9799999999996</v>
      </c>
      <c r="F382" s="105">
        <v>4191.9799999999996</v>
      </c>
      <c r="G382" s="106">
        <v>4041900000</v>
      </c>
      <c r="H382" s="107">
        <f t="shared" si="5"/>
        <v>-1.4459094103216061E-3</v>
      </c>
    </row>
    <row r="383" spans="1:8" ht="15">
      <c r="A383" s="109">
        <v>45064</v>
      </c>
      <c r="B383" s="105">
        <v>4157.68</v>
      </c>
      <c r="C383" s="105">
        <v>4202.2</v>
      </c>
      <c r="D383" s="105">
        <v>4153.5</v>
      </c>
      <c r="E383" s="105">
        <v>4198.05</v>
      </c>
      <c r="F383" s="105">
        <v>4198.05</v>
      </c>
      <c r="G383" s="106">
        <v>3980500000</v>
      </c>
      <c r="H383" s="107">
        <f t="shared" si="5"/>
        <v>9.4451003541912004E-3</v>
      </c>
    </row>
    <row r="384" spans="1:8" ht="15">
      <c r="A384" s="109">
        <v>45063</v>
      </c>
      <c r="B384" s="105">
        <v>4122.8500000000004</v>
      </c>
      <c r="C384" s="105">
        <v>4164.67</v>
      </c>
      <c r="D384" s="105">
        <v>4113.62</v>
      </c>
      <c r="E384" s="105">
        <v>4158.7700000000004</v>
      </c>
      <c r="F384" s="105">
        <v>4158.7700000000004</v>
      </c>
      <c r="G384" s="106">
        <v>4039080000</v>
      </c>
      <c r="H384" s="107">
        <f t="shared" si="5"/>
        <v>1.1890800262780311E-2</v>
      </c>
    </row>
    <row r="385" spans="1:8" ht="15">
      <c r="A385" s="109">
        <v>45062</v>
      </c>
      <c r="B385" s="105">
        <v>4127.95</v>
      </c>
      <c r="C385" s="105">
        <v>4135.54</v>
      </c>
      <c r="D385" s="105">
        <v>4109.8599999999997</v>
      </c>
      <c r="E385" s="105">
        <v>4109.8999999999996</v>
      </c>
      <c r="F385" s="105">
        <v>4109.8999999999996</v>
      </c>
      <c r="G385" s="106">
        <v>3654200000</v>
      </c>
      <c r="H385" s="107">
        <f t="shared" si="5"/>
        <v>-6.3777113735047214E-3</v>
      </c>
    </row>
    <row r="386" spans="1:8" ht="15">
      <c r="A386" s="109">
        <v>45061</v>
      </c>
      <c r="B386" s="105">
        <v>4126.6499999999996</v>
      </c>
      <c r="C386" s="105">
        <v>4141.25</v>
      </c>
      <c r="D386" s="105">
        <v>4110.2700000000004</v>
      </c>
      <c r="E386" s="105">
        <v>4136.28</v>
      </c>
      <c r="F386" s="105">
        <v>4136.28</v>
      </c>
      <c r="G386" s="106">
        <v>3562170000</v>
      </c>
      <c r="H386" s="107">
        <f t="shared" si="5"/>
        <v>2.9582355337432393E-3</v>
      </c>
    </row>
    <row r="387" spans="1:8" ht="15">
      <c r="A387" s="109">
        <v>45058</v>
      </c>
      <c r="B387" s="105">
        <v>4138.54</v>
      </c>
      <c r="C387" s="105">
        <v>4143.74</v>
      </c>
      <c r="D387" s="105">
        <v>4099.12</v>
      </c>
      <c r="E387" s="105">
        <v>4124.08</v>
      </c>
      <c r="F387" s="105">
        <v>4124.08</v>
      </c>
      <c r="G387" s="106">
        <v>3533740000</v>
      </c>
      <c r="H387" s="107">
        <f t="shared" ref="H387:H450" si="6">(F387-F388)/F388</f>
        <v>-1.5832974226629329E-3</v>
      </c>
    </row>
    <row r="388" spans="1:8" ht="15">
      <c r="A388" s="109">
        <v>45057</v>
      </c>
      <c r="B388" s="105">
        <v>4132.24</v>
      </c>
      <c r="C388" s="105">
        <v>4132.8</v>
      </c>
      <c r="D388" s="105">
        <v>4109.29</v>
      </c>
      <c r="E388" s="105">
        <v>4130.62</v>
      </c>
      <c r="F388" s="105">
        <v>4130.62</v>
      </c>
      <c r="G388" s="106">
        <v>3752900000</v>
      </c>
      <c r="H388" s="107">
        <f t="shared" si="6"/>
        <v>-1.6966193288929041E-3</v>
      </c>
    </row>
    <row r="389" spans="1:8" ht="15">
      <c r="A389" s="109">
        <v>45056</v>
      </c>
      <c r="B389" s="105">
        <v>4143.74</v>
      </c>
      <c r="C389" s="105">
        <v>4154.28</v>
      </c>
      <c r="D389" s="105">
        <v>4098.92</v>
      </c>
      <c r="E389" s="105">
        <v>4137.6400000000003</v>
      </c>
      <c r="F389" s="105">
        <v>4137.6400000000003</v>
      </c>
      <c r="G389" s="106">
        <v>4057160000</v>
      </c>
      <c r="H389" s="107">
        <f t="shared" si="6"/>
        <v>4.4839130213126079E-3</v>
      </c>
    </row>
    <row r="390" spans="1:8" ht="15">
      <c r="A390" s="109">
        <v>45055</v>
      </c>
      <c r="B390" s="105">
        <v>4124.25</v>
      </c>
      <c r="C390" s="105">
        <v>4130.3500000000004</v>
      </c>
      <c r="D390" s="105">
        <v>4116.6499999999996</v>
      </c>
      <c r="E390" s="105">
        <v>4119.17</v>
      </c>
      <c r="F390" s="105">
        <v>4119.17</v>
      </c>
      <c r="G390" s="106">
        <v>3810140000</v>
      </c>
      <c r="H390" s="107">
        <f t="shared" si="6"/>
        <v>-4.5793742085777642E-3</v>
      </c>
    </row>
    <row r="391" spans="1:8" ht="15">
      <c r="A391" s="109">
        <v>45054</v>
      </c>
      <c r="B391" s="105">
        <v>4136.9799999999996</v>
      </c>
      <c r="C391" s="105">
        <v>4142.3</v>
      </c>
      <c r="D391" s="105">
        <v>4123.8100000000004</v>
      </c>
      <c r="E391" s="105">
        <v>4138.12</v>
      </c>
      <c r="F391" s="105">
        <v>4138.12</v>
      </c>
      <c r="G391" s="106">
        <v>3641640000</v>
      </c>
      <c r="H391" s="107">
        <f t="shared" si="6"/>
        <v>4.5210033242668865E-4</v>
      </c>
    </row>
    <row r="392" spans="1:8" ht="15">
      <c r="A392" s="109">
        <v>45051</v>
      </c>
      <c r="B392" s="105">
        <v>4084.73</v>
      </c>
      <c r="C392" s="105">
        <v>4147.0200000000004</v>
      </c>
      <c r="D392" s="105">
        <v>4084.73</v>
      </c>
      <c r="E392" s="105">
        <v>4136.25</v>
      </c>
      <c r="F392" s="105">
        <v>4136.25</v>
      </c>
      <c r="G392" s="106">
        <v>4186270000</v>
      </c>
      <c r="H392" s="107">
        <f t="shared" si="6"/>
        <v>1.8474744042430651E-2</v>
      </c>
    </row>
    <row r="393" spans="1:8" ht="15">
      <c r="A393" s="109">
        <v>45050</v>
      </c>
      <c r="B393" s="105">
        <v>4082.55</v>
      </c>
      <c r="C393" s="105">
        <v>4082.61</v>
      </c>
      <c r="D393" s="105">
        <v>4048.28</v>
      </c>
      <c r="E393" s="105">
        <v>4061.22</v>
      </c>
      <c r="F393" s="105">
        <v>4061.22</v>
      </c>
      <c r="G393" s="106">
        <v>4920090000</v>
      </c>
      <c r="H393" s="107">
        <f t="shared" si="6"/>
        <v>-7.2187251726456517E-3</v>
      </c>
    </row>
    <row r="394" spans="1:8" ht="15">
      <c r="A394" s="109">
        <v>45049</v>
      </c>
      <c r="B394" s="105">
        <v>4122.25</v>
      </c>
      <c r="C394" s="105">
        <v>4148.3</v>
      </c>
      <c r="D394" s="105">
        <v>4088.86</v>
      </c>
      <c r="E394" s="105">
        <v>4090.75</v>
      </c>
      <c r="F394" s="105">
        <v>4090.75</v>
      </c>
      <c r="G394" s="106">
        <v>4246510000</v>
      </c>
      <c r="H394" s="107">
        <f t="shared" si="6"/>
        <v>-6.9982862330625764E-3</v>
      </c>
    </row>
    <row r="395" spans="1:8" ht="15">
      <c r="A395" s="109">
        <v>45048</v>
      </c>
      <c r="B395" s="105">
        <v>4164.1000000000004</v>
      </c>
      <c r="C395" s="105">
        <v>4164.1000000000004</v>
      </c>
      <c r="D395" s="105">
        <v>4089.72</v>
      </c>
      <c r="E395" s="105">
        <v>4119.58</v>
      </c>
      <c r="F395" s="105">
        <v>4119.58</v>
      </c>
      <c r="G395" s="106">
        <v>4486130000</v>
      </c>
      <c r="H395" s="107">
        <f t="shared" si="6"/>
        <v>-1.1586253889876596E-2</v>
      </c>
    </row>
    <row r="396" spans="1:8" ht="15">
      <c r="A396" s="109">
        <v>45047</v>
      </c>
      <c r="B396" s="105">
        <v>4166.79</v>
      </c>
      <c r="C396" s="105">
        <v>4186.92</v>
      </c>
      <c r="D396" s="105">
        <v>4164.12</v>
      </c>
      <c r="E396" s="105">
        <v>4167.87</v>
      </c>
      <c r="F396" s="105">
        <v>4167.87</v>
      </c>
      <c r="G396" s="106">
        <v>3321370000</v>
      </c>
      <c r="H396" s="107">
        <f t="shared" si="6"/>
        <v>-3.8613927875890346E-4</v>
      </c>
    </row>
    <row r="397" spans="1:8" ht="15">
      <c r="A397" s="109">
        <v>45044</v>
      </c>
      <c r="B397" s="105">
        <v>4129.63</v>
      </c>
      <c r="C397" s="105">
        <v>4170.0600000000004</v>
      </c>
      <c r="D397" s="105">
        <v>4127.18</v>
      </c>
      <c r="E397" s="105">
        <v>4169.4799999999996</v>
      </c>
      <c r="F397" s="105">
        <v>4169.4799999999996</v>
      </c>
      <c r="G397" s="106">
        <v>4087800000</v>
      </c>
      <c r="H397" s="107">
        <f t="shared" si="6"/>
        <v>8.2532312863479989E-3</v>
      </c>
    </row>
    <row r="398" spans="1:8" ht="15">
      <c r="A398" s="109">
        <v>45043</v>
      </c>
      <c r="B398" s="105">
        <v>4075.29</v>
      </c>
      <c r="C398" s="105">
        <v>4138.24</v>
      </c>
      <c r="D398" s="105">
        <v>4075.29</v>
      </c>
      <c r="E398" s="105">
        <v>4135.3500000000004</v>
      </c>
      <c r="F398" s="105">
        <v>4135.3500000000004</v>
      </c>
      <c r="G398" s="106">
        <v>3750550000</v>
      </c>
      <c r="H398" s="107">
        <f t="shared" si="6"/>
        <v>1.9566123190639176E-2</v>
      </c>
    </row>
    <row r="399" spans="1:8" ht="15">
      <c r="A399" s="109">
        <v>45042</v>
      </c>
      <c r="B399" s="105">
        <v>4087.78</v>
      </c>
      <c r="C399" s="105">
        <v>4089.67</v>
      </c>
      <c r="D399" s="105">
        <v>4049.35</v>
      </c>
      <c r="E399" s="105">
        <v>4055.99</v>
      </c>
      <c r="F399" s="105">
        <v>4055.99</v>
      </c>
      <c r="G399" s="106">
        <v>3837030000</v>
      </c>
      <c r="H399" s="107">
        <f t="shared" si="6"/>
        <v>-3.8412134697898203E-3</v>
      </c>
    </row>
    <row r="400" spans="1:8" ht="15">
      <c r="A400" s="109">
        <v>45041</v>
      </c>
      <c r="B400" s="105">
        <v>4126.43</v>
      </c>
      <c r="C400" s="105">
        <v>4126.43</v>
      </c>
      <c r="D400" s="105">
        <v>4071.38</v>
      </c>
      <c r="E400" s="105">
        <v>4071.63</v>
      </c>
      <c r="F400" s="105">
        <v>4071.63</v>
      </c>
      <c r="G400" s="106">
        <v>3978640000</v>
      </c>
      <c r="H400" s="107">
        <f t="shared" si="6"/>
        <v>-1.5810821263512041E-2</v>
      </c>
    </row>
    <row r="401" spans="1:8" ht="15">
      <c r="A401" s="109">
        <v>45040</v>
      </c>
      <c r="B401" s="105">
        <v>4132.07</v>
      </c>
      <c r="C401" s="105">
        <v>4142.41</v>
      </c>
      <c r="D401" s="105">
        <v>4117.7700000000004</v>
      </c>
      <c r="E401" s="105">
        <v>4137.04</v>
      </c>
      <c r="F401" s="105">
        <v>4137.04</v>
      </c>
      <c r="G401" s="106">
        <v>3290940000</v>
      </c>
      <c r="H401" s="107">
        <f t="shared" si="6"/>
        <v>8.5157444502494887E-4</v>
      </c>
    </row>
    <row r="402" spans="1:8" ht="15">
      <c r="A402" s="109">
        <v>45037</v>
      </c>
      <c r="B402" s="105">
        <v>4132.1400000000003</v>
      </c>
      <c r="C402" s="105">
        <v>4138.0200000000004</v>
      </c>
      <c r="D402" s="105">
        <v>4113.8599999999997</v>
      </c>
      <c r="E402" s="105">
        <v>4133.5200000000004</v>
      </c>
      <c r="F402" s="105">
        <v>4133.5200000000004</v>
      </c>
      <c r="G402" s="106">
        <v>3611750000</v>
      </c>
      <c r="H402" s="107">
        <f t="shared" si="6"/>
        <v>9.031936248575528E-4</v>
      </c>
    </row>
    <row r="403" spans="1:8" ht="15">
      <c r="A403" s="109">
        <v>45036</v>
      </c>
      <c r="B403" s="105">
        <v>4130.4799999999996</v>
      </c>
      <c r="C403" s="105">
        <v>4148.57</v>
      </c>
      <c r="D403" s="105">
        <v>4114.57</v>
      </c>
      <c r="E403" s="105">
        <v>4129.79</v>
      </c>
      <c r="F403" s="105">
        <v>4129.79</v>
      </c>
      <c r="G403" s="106">
        <v>3772080000</v>
      </c>
      <c r="H403" s="107">
        <f t="shared" si="6"/>
        <v>-5.9525528821621921E-3</v>
      </c>
    </row>
    <row r="404" spans="1:8" ht="15">
      <c r="A404" s="109">
        <v>45035</v>
      </c>
      <c r="B404" s="105">
        <v>4139.33</v>
      </c>
      <c r="C404" s="105">
        <v>4162.57</v>
      </c>
      <c r="D404" s="105">
        <v>4134.49</v>
      </c>
      <c r="E404" s="105">
        <v>4154.5200000000004</v>
      </c>
      <c r="F404" s="105">
        <v>4154.5200000000004</v>
      </c>
      <c r="G404" s="106">
        <v>3572560000</v>
      </c>
      <c r="H404" s="107">
        <f t="shared" si="6"/>
        <v>-8.4238496029828691E-5</v>
      </c>
    </row>
    <row r="405" spans="1:8" ht="15">
      <c r="A405" s="109">
        <v>45034</v>
      </c>
      <c r="B405" s="105">
        <v>4164.26</v>
      </c>
      <c r="C405" s="105">
        <v>4169.4799999999996</v>
      </c>
      <c r="D405" s="105">
        <v>4140.3599999999997</v>
      </c>
      <c r="E405" s="105">
        <v>4154.87</v>
      </c>
      <c r="F405" s="105">
        <v>4154.87</v>
      </c>
      <c r="G405" s="106">
        <v>3536640000</v>
      </c>
      <c r="H405" s="107">
        <f t="shared" si="6"/>
        <v>8.5514968732841167E-4</v>
      </c>
    </row>
    <row r="406" spans="1:8" ht="15">
      <c r="A406" s="109">
        <v>45033</v>
      </c>
      <c r="B406" s="105">
        <v>4137.17</v>
      </c>
      <c r="C406" s="105">
        <v>4151.72</v>
      </c>
      <c r="D406" s="105">
        <v>4123.18</v>
      </c>
      <c r="E406" s="105">
        <v>4151.32</v>
      </c>
      <c r="F406" s="105">
        <v>4151.32</v>
      </c>
      <c r="G406" s="106">
        <v>3611180000</v>
      </c>
      <c r="H406" s="107">
        <f t="shared" si="6"/>
        <v>3.3062325383550477E-3</v>
      </c>
    </row>
    <row r="407" spans="1:8" ht="15">
      <c r="A407" s="109">
        <v>45030</v>
      </c>
      <c r="B407" s="105">
        <v>4140.1099999999997</v>
      </c>
      <c r="C407" s="105">
        <v>4163.1899999999996</v>
      </c>
      <c r="D407" s="105">
        <v>4113.2</v>
      </c>
      <c r="E407" s="105">
        <v>4137.6400000000003</v>
      </c>
      <c r="F407" s="105">
        <v>4137.6400000000003</v>
      </c>
      <c r="G407" s="106">
        <v>3575690000</v>
      </c>
      <c r="H407" s="107">
        <f t="shared" si="6"/>
        <v>-2.0693547375681769E-3</v>
      </c>
    </row>
    <row r="408" spans="1:8" ht="15">
      <c r="A408" s="109">
        <v>45029</v>
      </c>
      <c r="B408" s="105">
        <v>4100.04</v>
      </c>
      <c r="C408" s="105">
        <v>4150.26</v>
      </c>
      <c r="D408" s="105">
        <v>4099.3999999999996</v>
      </c>
      <c r="E408" s="105">
        <v>4146.22</v>
      </c>
      <c r="F408" s="105">
        <v>4146.22</v>
      </c>
      <c r="G408" s="106">
        <v>3596590000</v>
      </c>
      <c r="H408" s="107">
        <f t="shared" si="6"/>
        <v>1.3262625398648673E-2</v>
      </c>
    </row>
    <row r="409" spans="1:8" ht="15">
      <c r="A409" s="109">
        <v>45028</v>
      </c>
      <c r="B409" s="105">
        <v>4121.72</v>
      </c>
      <c r="C409" s="105">
        <v>4134.37</v>
      </c>
      <c r="D409" s="105">
        <v>4086.94</v>
      </c>
      <c r="E409" s="105">
        <v>4091.95</v>
      </c>
      <c r="F409" s="105">
        <v>4091.95</v>
      </c>
      <c r="G409" s="106">
        <v>3633120000</v>
      </c>
      <c r="H409" s="107">
        <f t="shared" si="6"/>
        <v>-4.1348863697206048E-3</v>
      </c>
    </row>
    <row r="410" spans="1:8" ht="15">
      <c r="A410" s="109">
        <v>45027</v>
      </c>
      <c r="B410" s="105">
        <v>4110.29</v>
      </c>
      <c r="C410" s="105">
        <v>4124.26</v>
      </c>
      <c r="D410" s="105">
        <v>4102.6099999999997</v>
      </c>
      <c r="E410" s="105">
        <v>4108.9399999999996</v>
      </c>
      <c r="F410" s="105">
        <v>4108.9399999999996</v>
      </c>
      <c r="G410" s="106">
        <v>3665830000</v>
      </c>
      <c r="H410" s="107">
        <f t="shared" si="6"/>
        <v>-4.1371489203275837E-5</v>
      </c>
    </row>
    <row r="411" spans="1:8" ht="15">
      <c r="A411" s="109">
        <v>45026</v>
      </c>
      <c r="B411" s="105">
        <v>4085.2</v>
      </c>
      <c r="C411" s="105">
        <v>4109.5</v>
      </c>
      <c r="D411" s="105">
        <v>4072.55</v>
      </c>
      <c r="E411" s="105">
        <v>4109.1099999999997</v>
      </c>
      <c r="F411" s="105">
        <v>4109.1099999999997</v>
      </c>
      <c r="G411" s="106">
        <v>3423650000</v>
      </c>
      <c r="H411" s="107">
        <f t="shared" si="6"/>
        <v>9.963410653295807E-4</v>
      </c>
    </row>
    <row r="412" spans="1:8" ht="15">
      <c r="A412" s="109">
        <v>45022</v>
      </c>
      <c r="B412" s="105">
        <v>4081.15</v>
      </c>
      <c r="C412" s="105">
        <v>4107.32</v>
      </c>
      <c r="D412" s="105">
        <v>4069.84</v>
      </c>
      <c r="E412" s="105">
        <v>4105.0200000000004</v>
      </c>
      <c r="F412" s="105">
        <v>4105.0200000000004</v>
      </c>
      <c r="G412" s="106">
        <v>3486690000</v>
      </c>
      <c r="H412" s="107">
        <f t="shared" si="6"/>
        <v>3.5791295674241336E-3</v>
      </c>
    </row>
    <row r="413" spans="1:8" ht="15">
      <c r="A413" s="109">
        <v>45021</v>
      </c>
      <c r="B413" s="105">
        <v>4094.5</v>
      </c>
      <c r="C413" s="105">
        <v>4099.6899999999996</v>
      </c>
      <c r="D413" s="105">
        <v>4072.56</v>
      </c>
      <c r="E413" s="105">
        <v>4090.38</v>
      </c>
      <c r="F413" s="105">
        <v>4090.38</v>
      </c>
      <c r="G413" s="106">
        <v>3968020000</v>
      </c>
      <c r="H413" s="107">
        <f t="shared" si="6"/>
        <v>-2.4923181973370368E-3</v>
      </c>
    </row>
    <row r="414" spans="1:8" ht="15">
      <c r="A414" s="109">
        <v>45020</v>
      </c>
      <c r="B414" s="105">
        <v>4128.03</v>
      </c>
      <c r="C414" s="105">
        <v>4133.13</v>
      </c>
      <c r="D414" s="105">
        <v>4086.87</v>
      </c>
      <c r="E414" s="105">
        <v>4100.6000000000004</v>
      </c>
      <c r="F414" s="105">
        <v>4100.6000000000004</v>
      </c>
      <c r="G414" s="106">
        <v>4227800000</v>
      </c>
      <c r="H414" s="107">
        <f t="shared" si="6"/>
        <v>-5.7970522559043025E-3</v>
      </c>
    </row>
    <row r="415" spans="1:8" ht="15">
      <c r="A415" s="109">
        <v>45019</v>
      </c>
      <c r="B415" s="105">
        <v>4102.2</v>
      </c>
      <c r="C415" s="105">
        <v>4127.66</v>
      </c>
      <c r="D415" s="105">
        <v>4098.79</v>
      </c>
      <c r="E415" s="105">
        <v>4124.51</v>
      </c>
      <c r="F415" s="105">
        <v>4124.51</v>
      </c>
      <c r="G415" s="106">
        <v>4234700000</v>
      </c>
      <c r="H415" s="107">
        <f t="shared" si="6"/>
        <v>3.6989178231868164E-3</v>
      </c>
    </row>
    <row r="416" spans="1:8" ht="15">
      <c r="A416" s="109">
        <v>45016</v>
      </c>
      <c r="B416" s="105">
        <v>4056.18</v>
      </c>
      <c r="C416" s="105">
        <v>4110.75</v>
      </c>
      <c r="D416" s="105">
        <v>4056.18</v>
      </c>
      <c r="E416" s="105">
        <v>4109.3100000000004</v>
      </c>
      <c r="F416" s="105">
        <v>4109.3100000000004</v>
      </c>
      <c r="G416" s="106">
        <v>4525120000</v>
      </c>
      <c r="H416" s="107">
        <f t="shared" si="6"/>
        <v>1.4436547571732329E-2</v>
      </c>
    </row>
    <row r="417" spans="1:8" ht="15">
      <c r="A417" s="109">
        <v>45015</v>
      </c>
      <c r="B417" s="105">
        <v>4046.74</v>
      </c>
      <c r="C417" s="105">
        <v>4057.85</v>
      </c>
      <c r="D417" s="105">
        <v>4032.1</v>
      </c>
      <c r="E417" s="105">
        <v>4050.83</v>
      </c>
      <c r="F417" s="105">
        <v>4050.83</v>
      </c>
      <c r="G417" s="106">
        <v>3930860000</v>
      </c>
      <c r="H417" s="107">
        <f t="shared" si="6"/>
        <v>5.7152646227106004E-3</v>
      </c>
    </row>
    <row r="418" spans="1:8" ht="15">
      <c r="A418" s="109">
        <v>45014</v>
      </c>
      <c r="B418" s="105">
        <v>3999.53</v>
      </c>
      <c r="C418" s="105">
        <v>4030.59</v>
      </c>
      <c r="D418" s="105">
        <v>3999.53</v>
      </c>
      <c r="E418" s="105">
        <v>4027.81</v>
      </c>
      <c r="F418" s="105">
        <v>4027.81</v>
      </c>
      <c r="G418" s="106">
        <v>4145250000</v>
      </c>
      <c r="H418" s="107">
        <f t="shared" si="6"/>
        <v>1.4237259113583303E-2</v>
      </c>
    </row>
    <row r="419" spans="1:8" ht="15">
      <c r="A419" s="109">
        <v>45013</v>
      </c>
      <c r="B419" s="105">
        <v>3974.13</v>
      </c>
      <c r="C419" s="105">
        <v>3979.2</v>
      </c>
      <c r="D419" s="105">
        <v>3951.53</v>
      </c>
      <c r="E419" s="105">
        <v>3971.27</v>
      </c>
      <c r="F419" s="105">
        <v>3971.27</v>
      </c>
      <c r="G419" s="106">
        <v>4014600000</v>
      </c>
      <c r="H419" s="107">
        <f t="shared" si="6"/>
        <v>-1.5738410521102841E-3</v>
      </c>
    </row>
    <row r="420" spans="1:8" ht="15">
      <c r="A420" s="109">
        <v>45012</v>
      </c>
      <c r="B420" s="105">
        <v>3982.93</v>
      </c>
      <c r="C420" s="105">
        <v>4003.83</v>
      </c>
      <c r="D420" s="105">
        <v>3970.49</v>
      </c>
      <c r="E420" s="105">
        <v>3977.53</v>
      </c>
      <c r="F420" s="105">
        <v>3977.53</v>
      </c>
      <c r="G420" s="106">
        <v>4233540000</v>
      </c>
      <c r="H420" s="107">
        <f t="shared" si="6"/>
        <v>1.6469444647305631E-3</v>
      </c>
    </row>
    <row r="421" spans="1:8" ht="15">
      <c r="A421" s="109">
        <v>45009</v>
      </c>
      <c r="B421" s="105">
        <v>3939.21</v>
      </c>
      <c r="C421" s="105">
        <v>3972.74</v>
      </c>
      <c r="D421" s="105">
        <v>3909.16</v>
      </c>
      <c r="E421" s="105">
        <v>3970.99</v>
      </c>
      <c r="F421" s="105">
        <v>3970.99</v>
      </c>
      <c r="G421" s="106">
        <v>4583970000</v>
      </c>
      <c r="H421" s="107">
        <f t="shared" si="6"/>
        <v>5.6398022650377801E-3</v>
      </c>
    </row>
    <row r="422" spans="1:8" ht="15">
      <c r="A422" s="109">
        <v>45008</v>
      </c>
      <c r="B422" s="105">
        <v>3959.21</v>
      </c>
      <c r="C422" s="105">
        <v>4007.66</v>
      </c>
      <c r="D422" s="105">
        <v>3919.05</v>
      </c>
      <c r="E422" s="105">
        <v>3948.72</v>
      </c>
      <c r="F422" s="105">
        <v>3948.72</v>
      </c>
      <c r="G422" s="106">
        <v>4991600000</v>
      </c>
      <c r="H422" s="107">
        <f t="shared" si="6"/>
        <v>2.9845287111662016E-3</v>
      </c>
    </row>
    <row r="423" spans="1:8" ht="15">
      <c r="A423" s="109">
        <v>45007</v>
      </c>
      <c r="B423" s="105">
        <v>4002.04</v>
      </c>
      <c r="C423" s="105">
        <v>4039.49</v>
      </c>
      <c r="D423" s="105">
        <v>3936.17</v>
      </c>
      <c r="E423" s="105">
        <v>3936.97</v>
      </c>
      <c r="F423" s="105">
        <v>3936.97</v>
      </c>
      <c r="G423" s="106">
        <v>4533010000</v>
      </c>
      <c r="H423" s="107">
        <f t="shared" si="6"/>
        <v>-1.6463187662851927E-2</v>
      </c>
    </row>
    <row r="424" spans="1:8" ht="15">
      <c r="A424" s="109">
        <v>45006</v>
      </c>
      <c r="B424" s="105">
        <v>3975.89</v>
      </c>
      <c r="C424" s="105">
        <v>4009.08</v>
      </c>
      <c r="D424" s="105">
        <v>3971.19</v>
      </c>
      <c r="E424" s="105">
        <v>4002.87</v>
      </c>
      <c r="F424" s="105">
        <v>4002.87</v>
      </c>
      <c r="G424" s="106">
        <v>4920240000</v>
      </c>
      <c r="H424" s="107">
        <f t="shared" si="6"/>
        <v>1.2982181765728488E-2</v>
      </c>
    </row>
    <row r="425" spans="1:8" ht="15">
      <c r="A425" s="109">
        <v>45005</v>
      </c>
      <c r="B425" s="105">
        <v>3917.47</v>
      </c>
      <c r="C425" s="105">
        <v>3956.62</v>
      </c>
      <c r="D425" s="105">
        <v>3916.89</v>
      </c>
      <c r="E425" s="105">
        <v>3951.57</v>
      </c>
      <c r="F425" s="105">
        <v>3951.57</v>
      </c>
      <c r="G425" s="106">
        <v>5347140000</v>
      </c>
      <c r="H425" s="107">
        <f t="shared" si="6"/>
        <v>8.9183585930798573E-3</v>
      </c>
    </row>
    <row r="426" spans="1:8" ht="15">
      <c r="A426" s="109">
        <v>45002</v>
      </c>
      <c r="B426" s="105">
        <v>3958.69</v>
      </c>
      <c r="C426" s="105">
        <v>3958.91</v>
      </c>
      <c r="D426" s="105">
        <v>3901.27</v>
      </c>
      <c r="E426" s="105">
        <v>3916.64</v>
      </c>
      <c r="F426" s="105">
        <v>3916.64</v>
      </c>
      <c r="G426" s="106">
        <v>9354280000</v>
      </c>
      <c r="H426" s="107">
        <f t="shared" si="6"/>
        <v>-1.1019422869090146E-2</v>
      </c>
    </row>
    <row r="427" spans="1:8" ht="15">
      <c r="A427" s="109">
        <v>45001</v>
      </c>
      <c r="B427" s="105">
        <v>3878.93</v>
      </c>
      <c r="C427" s="105">
        <v>3964.46</v>
      </c>
      <c r="D427" s="105">
        <v>3864.11</v>
      </c>
      <c r="E427" s="105">
        <v>3960.28</v>
      </c>
      <c r="F427" s="105">
        <v>3960.28</v>
      </c>
      <c r="G427" s="106">
        <v>5695790000</v>
      </c>
      <c r="H427" s="107">
        <f t="shared" si="6"/>
        <v>1.7561980816715707E-2</v>
      </c>
    </row>
    <row r="428" spans="1:8" ht="15">
      <c r="A428" s="109">
        <v>45000</v>
      </c>
      <c r="B428" s="105">
        <v>3876.74</v>
      </c>
      <c r="C428" s="105">
        <v>3894.26</v>
      </c>
      <c r="D428" s="105">
        <v>3838.24</v>
      </c>
      <c r="E428" s="105">
        <v>3891.93</v>
      </c>
      <c r="F428" s="105">
        <v>3891.93</v>
      </c>
      <c r="G428" s="106">
        <v>6594010000</v>
      </c>
      <c r="H428" s="107">
        <f t="shared" si="6"/>
        <v>-6.9808562265104464E-3</v>
      </c>
    </row>
    <row r="429" spans="1:8" ht="15">
      <c r="A429" s="109">
        <v>44999</v>
      </c>
      <c r="B429" s="105">
        <v>3894.01</v>
      </c>
      <c r="C429" s="105">
        <v>3937.29</v>
      </c>
      <c r="D429" s="105">
        <v>3873.63</v>
      </c>
      <c r="E429" s="105">
        <v>3919.29</v>
      </c>
      <c r="F429" s="105">
        <v>3919.29</v>
      </c>
      <c r="G429" s="106">
        <v>5665870000</v>
      </c>
      <c r="H429" s="107">
        <f t="shared" si="6"/>
        <v>1.6476647924144588E-2</v>
      </c>
    </row>
    <row r="430" spans="1:8" ht="15">
      <c r="A430" s="109">
        <v>44998</v>
      </c>
      <c r="B430" s="105">
        <v>3835.12</v>
      </c>
      <c r="C430" s="105">
        <v>3905.05</v>
      </c>
      <c r="D430" s="105">
        <v>3808.86</v>
      </c>
      <c r="E430" s="105">
        <v>3855.76</v>
      </c>
      <c r="F430" s="105">
        <v>3855.76</v>
      </c>
      <c r="G430" s="106">
        <v>6558020000</v>
      </c>
      <c r="H430" s="107">
        <f t="shared" si="6"/>
        <v>-1.5097408062481846E-3</v>
      </c>
    </row>
    <row r="431" spans="1:8" ht="15">
      <c r="A431" s="109">
        <v>44995</v>
      </c>
      <c r="B431" s="105">
        <v>3912.77</v>
      </c>
      <c r="C431" s="105">
        <v>3934.05</v>
      </c>
      <c r="D431" s="105">
        <v>3846.32</v>
      </c>
      <c r="E431" s="105">
        <v>3861.59</v>
      </c>
      <c r="F431" s="105">
        <v>3861.59</v>
      </c>
      <c r="G431" s="106">
        <v>5518190000</v>
      </c>
      <c r="H431" s="107">
        <f t="shared" si="6"/>
        <v>-1.447814369423631E-2</v>
      </c>
    </row>
    <row r="432" spans="1:8" ht="15">
      <c r="A432" s="109">
        <v>44994</v>
      </c>
      <c r="B432" s="105">
        <v>3998.66</v>
      </c>
      <c r="C432" s="105">
        <v>4017.81</v>
      </c>
      <c r="D432" s="105">
        <v>3908.7</v>
      </c>
      <c r="E432" s="105">
        <v>3918.32</v>
      </c>
      <c r="F432" s="105">
        <v>3918.32</v>
      </c>
      <c r="G432" s="106">
        <v>4445260000</v>
      </c>
      <c r="H432" s="107">
        <f t="shared" si="6"/>
        <v>-1.8459372596762044E-2</v>
      </c>
    </row>
    <row r="433" spans="1:8" ht="15">
      <c r="A433" s="109">
        <v>44993</v>
      </c>
      <c r="B433" s="105">
        <v>3987.55</v>
      </c>
      <c r="C433" s="105">
        <v>4000.41</v>
      </c>
      <c r="D433" s="105">
        <v>3969.76</v>
      </c>
      <c r="E433" s="105">
        <v>3992.01</v>
      </c>
      <c r="F433" s="105">
        <v>3992.01</v>
      </c>
      <c r="G433" s="106">
        <v>3535570000</v>
      </c>
      <c r="H433" s="107">
        <f t="shared" si="6"/>
        <v>1.4148210025663266E-3</v>
      </c>
    </row>
    <row r="434" spans="1:8" ht="15">
      <c r="A434" s="109">
        <v>44992</v>
      </c>
      <c r="B434" s="105">
        <v>4048.26</v>
      </c>
      <c r="C434" s="105">
        <v>4050</v>
      </c>
      <c r="D434" s="105">
        <v>3980.31</v>
      </c>
      <c r="E434" s="105">
        <v>3986.37</v>
      </c>
      <c r="F434" s="105">
        <v>3986.37</v>
      </c>
      <c r="G434" s="106">
        <v>3922500000</v>
      </c>
      <c r="H434" s="107">
        <f t="shared" si="6"/>
        <v>-1.532696706369403E-2</v>
      </c>
    </row>
    <row r="435" spans="1:8" ht="15">
      <c r="A435" s="109">
        <v>44991</v>
      </c>
      <c r="B435" s="105">
        <v>4055.15</v>
      </c>
      <c r="C435" s="105">
        <v>4078.49</v>
      </c>
      <c r="D435" s="105">
        <v>4044.61</v>
      </c>
      <c r="E435" s="105">
        <v>4048.42</v>
      </c>
      <c r="F435" s="105">
        <v>4048.42</v>
      </c>
      <c r="G435" s="106">
        <v>4000870000</v>
      </c>
      <c r="H435" s="107">
        <f t="shared" si="6"/>
        <v>6.8715950999105211E-4</v>
      </c>
    </row>
    <row r="436" spans="1:8" ht="15">
      <c r="A436" s="109">
        <v>44988</v>
      </c>
      <c r="B436" s="105">
        <v>3998.02</v>
      </c>
      <c r="C436" s="105">
        <v>4048.29</v>
      </c>
      <c r="D436" s="105">
        <v>3995.17</v>
      </c>
      <c r="E436" s="105">
        <v>4045.64</v>
      </c>
      <c r="F436" s="105">
        <v>4045.64</v>
      </c>
      <c r="G436" s="106">
        <v>4084730000</v>
      </c>
      <c r="H436" s="107">
        <f t="shared" si="6"/>
        <v>1.6147789066522655E-2</v>
      </c>
    </row>
    <row r="437" spans="1:8" ht="15">
      <c r="A437" s="109">
        <v>44987</v>
      </c>
      <c r="B437" s="105">
        <v>3938.68</v>
      </c>
      <c r="C437" s="105">
        <v>3990.84</v>
      </c>
      <c r="D437" s="105">
        <v>3928.16</v>
      </c>
      <c r="E437" s="105">
        <v>3981.35</v>
      </c>
      <c r="F437" s="105">
        <v>3981.35</v>
      </c>
      <c r="G437" s="106">
        <v>4244900000</v>
      </c>
      <c r="H437" s="107">
        <f t="shared" si="6"/>
        <v>7.5821419804170277E-3</v>
      </c>
    </row>
    <row r="438" spans="1:8" ht="15">
      <c r="A438" s="109">
        <v>44986</v>
      </c>
      <c r="B438" s="105">
        <v>3963.34</v>
      </c>
      <c r="C438" s="105">
        <v>3971.73</v>
      </c>
      <c r="D438" s="105">
        <v>3939.05</v>
      </c>
      <c r="E438" s="105">
        <v>3951.39</v>
      </c>
      <c r="F438" s="105">
        <v>3951.39</v>
      </c>
      <c r="G438" s="106">
        <v>4249480000</v>
      </c>
      <c r="H438" s="107">
        <f t="shared" si="6"/>
        <v>-4.7252622696875978E-3</v>
      </c>
    </row>
    <row r="439" spans="1:8" ht="15">
      <c r="A439" s="109">
        <v>44985</v>
      </c>
      <c r="B439" s="105">
        <v>3977.19</v>
      </c>
      <c r="C439" s="105">
        <v>3997.5</v>
      </c>
      <c r="D439" s="105">
        <v>3968.98</v>
      </c>
      <c r="E439" s="105">
        <v>3970.15</v>
      </c>
      <c r="F439" s="105">
        <v>3970.15</v>
      </c>
      <c r="G439" s="106">
        <v>5043400000</v>
      </c>
      <c r="H439" s="107">
        <f t="shared" si="6"/>
        <v>-3.0359797500903239E-3</v>
      </c>
    </row>
    <row r="440" spans="1:8" ht="15">
      <c r="A440" s="109">
        <v>44984</v>
      </c>
      <c r="B440" s="105">
        <v>3992.36</v>
      </c>
      <c r="C440" s="105">
        <v>4018.05</v>
      </c>
      <c r="D440" s="105">
        <v>3973.55</v>
      </c>
      <c r="E440" s="105">
        <v>3982.24</v>
      </c>
      <c r="F440" s="105">
        <v>3982.24</v>
      </c>
      <c r="G440" s="106">
        <v>3836950000</v>
      </c>
      <c r="H440" s="107">
        <f t="shared" si="6"/>
        <v>3.0730168965551526E-3</v>
      </c>
    </row>
    <row r="441" spans="1:8" ht="15">
      <c r="A441" s="109">
        <v>44981</v>
      </c>
      <c r="B441" s="105">
        <v>3973.24</v>
      </c>
      <c r="C441" s="105">
        <v>3978.25</v>
      </c>
      <c r="D441" s="105">
        <v>3943.08</v>
      </c>
      <c r="E441" s="105">
        <v>3970.04</v>
      </c>
      <c r="F441" s="105">
        <v>3970.04</v>
      </c>
      <c r="G441" s="106">
        <v>3877700000</v>
      </c>
      <c r="H441" s="107">
        <f t="shared" si="6"/>
        <v>-1.0537544363360898E-2</v>
      </c>
    </row>
    <row r="442" spans="1:8" ht="15">
      <c r="A442" s="109">
        <v>44980</v>
      </c>
      <c r="B442" s="105">
        <v>4018.6</v>
      </c>
      <c r="C442" s="105">
        <v>4028.3</v>
      </c>
      <c r="D442" s="105">
        <v>3969.19</v>
      </c>
      <c r="E442" s="105">
        <v>4012.32</v>
      </c>
      <c r="F442" s="105">
        <v>4012.32</v>
      </c>
      <c r="G442" s="106">
        <v>3952940000</v>
      </c>
      <c r="H442" s="107">
        <f t="shared" si="6"/>
        <v>5.3294245875145588E-3</v>
      </c>
    </row>
    <row r="443" spans="1:8" ht="15">
      <c r="A443" s="109">
        <v>44979</v>
      </c>
      <c r="B443" s="105">
        <v>4001.83</v>
      </c>
      <c r="C443" s="105">
        <v>4017.37</v>
      </c>
      <c r="D443" s="105">
        <v>3976.9</v>
      </c>
      <c r="E443" s="105">
        <v>3991.05</v>
      </c>
      <c r="F443" s="105">
        <v>3991.05</v>
      </c>
      <c r="G443" s="106">
        <v>4079320000</v>
      </c>
      <c r="H443" s="107">
        <f t="shared" si="6"/>
        <v>-1.5735464083615513E-3</v>
      </c>
    </row>
    <row r="444" spans="1:8" ht="15">
      <c r="A444" s="109">
        <v>44978</v>
      </c>
      <c r="B444" s="105">
        <v>4052.35</v>
      </c>
      <c r="C444" s="105">
        <v>4052.35</v>
      </c>
      <c r="D444" s="105">
        <v>3995.19</v>
      </c>
      <c r="E444" s="105">
        <v>3997.34</v>
      </c>
      <c r="F444" s="105">
        <v>3997.34</v>
      </c>
      <c r="G444" s="106">
        <v>4121590000</v>
      </c>
      <c r="H444" s="107">
        <f t="shared" si="6"/>
        <v>-2.0041234687148357E-2</v>
      </c>
    </row>
    <row r="445" spans="1:8" ht="15">
      <c r="A445" s="109">
        <v>44974</v>
      </c>
      <c r="B445" s="105">
        <v>4077.39</v>
      </c>
      <c r="C445" s="105">
        <v>4081.51</v>
      </c>
      <c r="D445" s="105">
        <v>4047.95</v>
      </c>
      <c r="E445" s="105">
        <v>4079.09</v>
      </c>
      <c r="F445" s="105">
        <v>4079.09</v>
      </c>
      <c r="G445" s="106">
        <v>4045480000</v>
      </c>
      <c r="H445" s="107">
        <f t="shared" si="6"/>
        <v>-2.7674487398573026E-3</v>
      </c>
    </row>
    <row r="446" spans="1:8" ht="15">
      <c r="A446" s="109">
        <v>44973</v>
      </c>
      <c r="B446" s="105">
        <v>4114.75</v>
      </c>
      <c r="C446" s="105">
        <v>4136.54</v>
      </c>
      <c r="D446" s="105">
        <v>4089.49</v>
      </c>
      <c r="E446" s="105">
        <v>4090.41</v>
      </c>
      <c r="F446" s="105">
        <v>4090.41</v>
      </c>
      <c r="G446" s="106">
        <v>4143660000</v>
      </c>
      <c r="H446" s="107">
        <f t="shared" si="6"/>
        <v>-1.3788697077828264E-2</v>
      </c>
    </row>
    <row r="447" spans="1:8" ht="15">
      <c r="A447" s="109">
        <v>44972</v>
      </c>
      <c r="B447" s="105">
        <v>4119.5</v>
      </c>
      <c r="C447" s="105">
        <v>4148.1099999999997</v>
      </c>
      <c r="D447" s="105">
        <v>4103.9799999999996</v>
      </c>
      <c r="E447" s="105">
        <v>4147.6000000000004</v>
      </c>
      <c r="F447" s="105">
        <v>4147.6000000000004</v>
      </c>
      <c r="G447" s="106">
        <v>4075980000</v>
      </c>
      <c r="H447" s="107">
        <f t="shared" si="6"/>
        <v>2.7731236687435486E-3</v>
      </c>
    </row>
    <row r="448" spans="1:8" ht="15">
      <c r="A448" s="109">
        <v>44971</v>
      </c>
      <c r="B448" s="105">
        <v>4126.7</v>
      </c>
      <c r="C448" s="105">
        <v>4159.7700000000004</v>
      </c>
      <c r="D448" s="105">
        <v>4095.01</v>
      </c>
      <c r="E448" s="105">
        <v>4136.13</v>
      </c>
      <c r="F448" s="105">
        <v>4136.13</v>
      </c>
      <c r="G448" s="106">
        <v>3929200000</v>
      </c>
      <c r="H448" s="107">
        <f t="shared" si="6"/>
        <v>-2.8037676836766446E-4</v>
      </c>
    </row>
    <row r="449" spans="1:8" ht="15">
      <c r="A449" s="109">
        <v>44970</v>
      </c>
      <c r="B449" s="105">
        <v>4096.62</v>
      </c>
      <c r="C449" s="105">
        <v>4138.8999999999996</v>
      </c>
      <c r="D449" s="105">
        <v>4092.67</v>
      </c>
      <c r="E449" s="105">
        <v>4137.29</v>
      </c>
      <c r="F449" s="105">
        <v>4137.29</v>
      </c>
      <c r="G449" s="106">
        <v>3448620000</v>
      </c>
      <c r="H449" s="107">
        <f t="shared" si="6"/>
        <v>1.1448590134116927E-2</v>
      </c>
    </row>
    <row r="450" spans="1:8" ht="15">
      <c r="A450" s="109">
        <v>44967</v>
      </c>
      <c r="B450" s="105">
        <v>4068.92</v>
      </c>
      <c r="C450" s="105">
        <v>4094.36</v>
      </c>
      <c r="D450" s="105">
        <v>4060.79</v>
      </c>
      <c r="E450" s="105">
        <v>4090.46</v>
      </c>
      <c r="F450" s="105">
        <v>4090.46</v>
      </c>
      <c r="G450" s="106">
        <v>3891520000</v>
      </c>
      <c r="H450" s="107">
        <f t="shared" si="6"/>
        <v>2.1952713463187644E-3</v>
      </c>
    </row>
    <row r="451" spans="1:8" ht="15">
      <c r="A451" s="109">
        <v>44966</v>
      </c>
      <c r="B451" s="105">
        <v>4144.25</v>
      </c>
      <c r="C451" s="105">
        <v>4156.2299999999996</v>
      </c>
      <c r="D451" s="105">
        <v>4069.67</v>
      </c>
      <c r="E451" s="105">
        <v>4081.5</v>
      </c>
      <c r="F451" s="105">
        <v>4081.5</v>
      </c>
      <c r="G451" s="106">
        <v>4270200000</v>
      </c>
      <c r="H451" s="107">
        <f t="shared" ref="H451:H505" si="7">(F451-F452)/F452</f>
        <v>-8.8298290859814745E-3</v>
      </c>
    </row>
    <row r="452" spans="1:8" ht="15">
      <c r="A452" s="109">
        <v>44965</v>
      </c>
      <c r="B452" s="105">
        <v>4153.47</v>
      </c>
      <c r="C452" s="105">
        <v>4156.8500000000004</v>
      </c>
      <c r="D452" s="105">
        <v>4111.67</v>
      </c>
      <c r="E452" s="105">
        <v>4117.8599999999997</v>
      </c>
      <c r="F452" s="105">
        <v>4117.8599999999997</v>
      </c>
      <c r="G452" s="106">
        <v>4029820000</v>
      </c>
      <c r="H452" s="107">
        <f t="shared" si="7"/>
        <v>-1.1080691642651375E-2</v>
      </c>
    </row>
    <row r="453" spans="1:8" ht="15">
      <c r="A453" s="109">
        <v>44964</v>
      </c>
      <c r="B453" s="105">
        <v>4105.3500000000004</v>
      </c>
      <c r="C453" s="105">
        <v>4176.54</v>
      </c>
      <c r="D453" s="105">
        <v>4088.39</v>
      </c>
      <c r="E453" s="105">
        <v>4164</v>
      </c>
      <c r="F453" s="105">
        <v>4164</v>
      </c>
      <c r="G453" s="106">
        <v>4355860000</v>
      </c>
      <c r="H453" s="107">
        <f t="shared" si="7"/>
        <v>1.2872529846171828E-2</v>
      </c>
    </row>
    <row r="454" spans="1:8" ht="15">
      <c r="A454" s="109">
        <v>44963</v>
      </c>
      <c r="B454" s="105">
        <v>4119.57</v>
      </c>
      <c r="C454" s="105">
        <v>4124.63</v>
      </c>
      <c r="D454" s="105">
        <v>4093.38</v>
      </c>
      <c r="E454" s="105">
        <v>4111.08</v>
      </c>
      <c r="F454" s="105">
        <v>4111.08</v>
      </c>
      <c r="G454" s="106">
        <v>4114240000</v>
      </c>
      <c r="H454" s="107">
        <f t="shared" si="7"/>
        <v>-6.1404865973000329E-3</v>
      </c>
    </row>
    <row r="455" spans="1:8" ht="15">
      <c r="A455" s="109">
        <v>44960</v>
      </c>
      <c r="B455" s="105">
        <v>4136.6899999999996</v>
      </c>
      <c r="C455" s="105">
        <v>4182.3599999999997</v>
      </c>
      <c r="D455" s="105">
        <v>4123.3599999999997</v>
      </c>
      <c r="E455" s="105">
        <v>4136.4799999999996</v>
      </c>
      <c r="F455" s="105">
        <v>4136.4799999999996</v>
      </c>
      <c r="G455" s="106">
        <v>4694510000</v>
      </c>
      <c r="H455" s="107">
        <f t="shared" si="7"/>
        <v>-1.0354661511665898E-2</v>
      </c>
    </row>
    <row r="456" spans="1:8" ht="15">
      <c r="A456" s="109">
        <v>44959</v>
      </c>
      <c r="B456" s="105">
        <v>4158.68</v>
      </c>
      <c r="C456" s="105">
        <v>4195.4399999999996</v>
      </c>
      <c r="D456" s="105">
        <v>4141.88</v>
      </c>
      <c r="E456" s="105">
        <v>4179.76</v>
      </c>
      <c r="F456" s="105">
        <v>4179.76</v>
      </c>
      <c r="G456" s="106">
        <v>5624360000</v>
      </c>
      <c r="H456" s="107">
        <f t="shared" si="7"/>
        <v>1.4699420519954112E-2</v>
      </c>
    </row>
    <row r="457" spans="1:8" ht="15">
      <c r="A457" s="109">
        <v>44958</v>
      </c>
      <c r="B457" s="105">
        <v>4070.07</v>
      </c>
      <c r="C457" s="105">
        <v>4148.95</v>
      </c>
      <c r="D457" s="105">
        <v>4037.2</v>
      </c>
      <c r="E457" s="105">
        <v>4119.21</v>
      </c>
      <c r="F457" s="105">
        <v>4119.21</v>
      </c>
      <c r="G457" s="106">
        <v>4856930000</v>
      </c>
      <c r="H457" s="107">
        <f t="shared" si="7"/>
        <v>1.045233773242411E-2</v>
      </c>
    </row>
    <row r="458" spans="1:8" ht="15">
      <c r="A458" s="109">
        <v>44957</v>
      </c>
      <c r="B458" s="105">
        <v>4020.85</v>
      </c>
      <c r="C458" s="105">
        <v>4077.16</v>
      </c>
      <c r="D458" s="105">
        <v>4020.44</v>
      </c>
      <c r="E458" s="105">
        <v>4076.6</v>
      </c>
      <c r="F458" s="105">
        <v>4076.6</v>
      </c>
      <c r="G458" s="106">
        <v>4679320000</v>
      </c>
      <c r="H458" s="107">
        <f t="shared" si="7"/>
        <v>1.4642450911824203E-2</v>
      </c>
    </row>
    <row r="459" spans="1:8" ht="15">
      <c r="A459" s="109">
        <v>44956</v>
      </c>
      <c r="B459" s="105">
        <v>4049.27</v>
      </c>
      <c r="C459" s="105">
        <v>4063.85</v>
      </c>
      <c r="D459" s="105">
        <v>4015.55</v>
      </c>
      <c r="E459" s="105">
        <v>4017.77</v>
      </c>
      <c r="F459" s="105">
        <v>4017.77</v>
      </c>
      <c r="G459" s="106">
        <v>3802000000</v>
      </c>
      <c r="H459" s="107">
        <f t="shared" si="7"/>
        <v>-1.2968731575016696E-2</v>
      </c>
    </row>
    <row r="460" spans="1:8" ht="15">
      <c r="A460" s="109">
        <v>44953</v>
      </c>
      <c r="B460" s="105">
        <v>4053.72</v>
      </c>
      <c r="C460" s="105">
        <v>4094.21</v>
      </c>
      <c r="D460" s="105">
        <v>4048.7</v>
      </c>
      <c r="E460" s="105">
        <v>4070.56</v>
      </c>
      <c r="F460" s="105">
        <v>4070.56</v>
      </c>
      <c r="G460" s="106">
        <v>3907760000</v>
      </c>
      <c r="H460" s="107">
        <f t="shared" si="7"/>
        <v>2.4948096630160129E-3</v>
      </c>
    </row>
    <row r="461" spans="1:8" ht="15">
      <c r="A461" s="109">
        <v>44952</v>
      </c>
      <c r="B461" s="105">
        <v>4036.08</v>
      </c>
      <c r="C461" s="105">
        <v>4061.57</v>
      </c>
      <c r="D461" s="105">
        <v>4013.29</v>
      </c>
      <c r="E461" s="105">
        <v>4060.43</v>
      </c>
      <c r="F461" s="105">
        <v>4060.43</v>
      </c>
      <c r="G461" s="106">
        <v>3809590000</v>
      </c>
      <c r="H461" s="107">
        <f t="shared" si="7"/>
        <v>1.1007863115068408E-2</v>
      </c>
    </row>
    <row r="462" spans="1:8" ht="15">
      <c r="A462" s="109">
        <v>44951</v>
      </c>
      <c r="B462" s="105">
        <v>3982.71</v>
      </c>
      <c r="C462" s="105">
        <v>4019.55</v>
      </c>
      <c r="D462" s="105">
        <v>3949.06</v>
      </c>
      <c r="E462" s="105">
        <v>4016.22</v>
      </c>
      <c r="F462" s="105">
        <v>4016.22</v>
      </c>
      <c r="G462" s="106">
        <v>3724020000</v>
      </c>
      <c r="H462" s="107">
        <f t="shared" si="7"/>
        <v>-1.8172991946626625E-4</v>
      </c>
    </row>
    <row r="463" spans="1:8" ht="15">
      <c r="A463" s="109">
        <v>44950</v>
      </c>
      <c r="B463" s="105">
        <v>4001.74</v>
      </c>
      <c r="C463" s="105">
        <v>4023.92</v>
      </c>
      <c r="D463" s="105">
        <v>3989.79</v>
      </c>
      <c r="E463" s="105">
        <v>4016.95</v>
      </c>
      <c r="F463" s="105">
        <v>4016.95</v>
      </c>
      <c r="G463" s="106">
        <v>3320430000</v>
      </c>
      <c r="H463" s="107">
        <f t="shared" si="7"/>
        <v>-7.1147641306433074E-4</v>
      </c>
    </row>
    <row r="464" spans="1:8" ht="15">
      <c r="A464" s="109">
        <v>44949</v>
      </c>
      <c r="B464" s="105">
        <v>3978.14</v>
      </c>
      <c r="C464" s="105">
        <v>4039.31</v>
      </c>
      <c r="D464" s="105">
        <v>3971.64</v>
      </c>
      <c r="E464" s="105">
        <v>4019.81</v>
      </c>
      <c r="F464" s="105">
        <v>4019.81</v>
      </c>
      <c r="G464" s="106">
        <v>3945210000</v>
      </c>
      <c r="H464" s="107">
        <f t="shared" si="7"/>
        <v>1.188135759613952E-2</v>
      </c>
    </row>
    <row r="465" spans="1:8" ht="15">
      <c r="A465" s="109">
        <v>44946</v>
      </c>
      <c r="B465" s="105">
        <v>3909.04</v>
      </c>
      <c r="C465" s="105">
        <v>3972.96</v>
      </c>
      <c r="D465" s="105">
        <v>3897.86</v>
      </c>
      <c r="E465" s="105">
        <v>3972.61</v>
      </c>
      <c r="F465" s="105">
        <v>3972.61</v>
      </c>
      <c r="G465" s="106">
        <v>4013360000</v>
      </c>
      <c r="H465" s="107">
        <f t="shared" si="7"/>
        <v>1.8918399015094251E-2</v>
      </c>
    </row>
    <row r="466" spans="1:8" ht="15">
      <c r="A466" s="109">
        <v>44945</v>
      </c>
      <c r="B466" s="105">
        <v>3911.84</v>
      </c>
      <c r="C466" s="105">
        <v>3922.94</v>
      </c>
      <c r="D466" s="105">
        <v>3885.54</v>
      </c>
      <c r="E466" s="105">
        <v>3898.85</v>
      </c>
      <c r="F466" s="105">
        <v>3898.85</v>
      </c>
      <c r="G466" s="106">
        <v>3991500000</v>
      </c>
      <c r="H466" s="107">
        <f t="shared" si="7"/>
        <v>-7.6383480195273482E-3</v>
      </c>
    </row>
    <row r="467" spans="1:8" ht="15">
      <c r="A467" s="109">
        <v>44944</v>
      </c>
      <c r="B467" s="105">
        <v>4002.25</v>
      </c>
      <c r="C467" s="105">
        <v>4014.16</v>
      </c>
      <c r="D467" s="105">
        <v>3926.59</v>
      </c>
      <c r="E467" s="105">
        <v>3928.86</v>
      </c>
      <c r="F467" s="105">
        <v>3928.86</v>
      </c>
      <c r="G467" s="106">
        <v>4298710000</v>
      </c>
      <c r="H467" s="107">
        <f t="shared" si="7"/>
        <v>-1.5562632643191925E-2</v>
      </c>
    </row>
    <row r="468" spans="1:8" ht="15">
      <c r="A468" s="109">
        <v>44943</v>
      </c>
      <c r="B468" s="105">
        <v>3999.28</v>
      </c>
      <c r="C468" s="105">
        <v>4015.39</v>
      </c>
      <c r="D468" s="105">
        <v>3984.57</v>
      </c>
      <c r="E468" s="105">
        <v>3990.97</v>
      </c>
      <c r="F468" s="105">
        <v>3990.97</v>
      </c>
      <c r="G468" s="106">
        <v>4235560000</v>
      </c>
      <c r="H468" s="107">
        <f t="shared" si="7"/>
        <v>-2.0304619300891818E-3</v>
      </c>
    </row>
    <row r="469" spans="1:8" ht="15">
      <c r="A469" s="109">
        <v>44939</v>
      </c>
      <c r="B469" s="105">
        <v>3960.6</v>
      </c>
      <c r="C469" s="105">
        <v>4003.95</v>
      </c>
      <c r="D469" s="105">
        <v>3947.67</v>
      </c>
      <c r="E469" s="105">
        <v>3999.09</v>
      </c>
      <c r="F469" s="105">
        <v>3999.09</v>
      </c>
      <c r="G469" s="106">
        <v>3939700000</v>
      </c>
      <c r="H469" s="107">
        <f t="shared" si="7"/>
        <v>3.9968166058692127E-3</v>
      </c>
    </row>
    <row r="470" spans="1:8" ht="15">
      <c r="A470" s="109">
        <v>44938</v>
      </c>
      <c r="B470" s="105">
        <v>3977.57</v>
      </c>
      <c r="C470" s="105">
        <v>3997.76</v>
      </c>
      <c r="D470" s="105">
        <v>3937.56</v>
      </c>
      <c r="E470" s="105">
        <v>3983.17</v>
      </c>
      <c r="F470" s="105">
        <v>3983.17</v>
      </c>
      <c r="G470" s="106">
        <v>4440260000</v>
      </c>
      <c r="H470" s="107">
        <f t="shared" si="7"/>
        <v>3.4159527006431224E-3</v>
      </c>
    </row>
    <row r="471" spans="1:8" ht="15">
      <c r="A471" s="109">
        <v>44937</v>
      </c>
      <c r="B471" s="105">
        <v>3932.35</v>
      </c>
      <c r="C471" s="105">
        <v>3970.07</v>
      </c>
      <c r="D471" s="105">
        <v>3928.54</v>
      </c>
      <c r="E471" s="105">
        <v>3969.61</v>
      </c>
      <c r="F471" s="105">
        <v>3969.61</v>
      </c>
      <c r="G471" s="106">
        <v>4303360000</v>
      </c>
      <c r="H471" s="107">
        <f t="shared" si="7"/>
        <v>1.2849397206098139E-2</v>
      </c>
    </row>
    <row r="472" spans="1:8" ht="15">
      <c r="A472" s="109">
        <v>44936</v>
      </c>
      <c r="B472" s="105">
        <v>3888.57</v>
      </c>
      <c r="C472" s="105">
        <v>3919.83</v>
      </c>
      <c r="D472" s="105">
        <v>3877.29</v>
      </c>
      <c r="E472" s="105">
        <v>3919.25</v>
      </c>
      <c r="F472" s="105">
        <v>3919.25</v>
      </c>
      <c r="G472" s="106">
        <v>3851030000</v>
      </c>
      <c r="H472" s="107">
        <f t="shared" si="7"/>
        <v>6.9782558985017956E-3</v>
      </c>
    </row>
    <row r="473" spans="1:8" ht="15">
      <c r="A473" s="109">
        <v>44935</v>
      </c>
      <c r="B473" s="105">
        <v>3910.82</v>
      </c>
      <c r="C473" s="105">
        <v>3950.57</v>
      </c>
      <c r="D473" s="105">
        <v>3890.42</v>
      </c>
      <c r="E473" s="105">
        <v>3892.09</v>
      </c>
      <c r="F473" s="105">
        <v>3892.09</v>
      </c>
      <c r="G473" s="106">
        <v>4311770000</v>
      </c>
      <c r="H473" s="107">
        <f t="shared" si="7"/>
        <v>-7.6763506782910281E-4</v>
      </c>
    </row>
    <row r="474" spans="1:8" ht="15">
      <c r="A474" s="109">
        <v>44932</v>
      </c>
      <c r="B474" s="105">
        <v>3823.37</v>
      </c>
      <c r="C474" s="105">
        <v>3906.19</v>
      </c>
      <c r="D474" s="105">
        <v>3809.56</v>
      </c>
      <c r="E474" s="105">
        <v>3895.08</v>
      </c>
      <c r="F474" s="105">
        <v>3895.08</v>
      </c>
      <c r="G474" s="106">
        <v>3923560000</v>
      </c>
      <c r="H474" s="107">
        <f t="shared" si="7"/>
        <v>2.2840786744045591E-2</v>
      </c>
    </row>
    <row r="475" spans="1:8" ht="15">
      <c r="A475" s="109">
        <v>44931</v>
      </c>
      <c r="B475" s="105">
        <v>3839.74</v>
      </c>
      <c r="C475" s="105">
        <v>3839.74</v>
      </c>
      <c r="D475" s="105">
        <v>3802.42</v>
      </c>
      <c r="E475" s="105">
        <v>3808.1</v>
      </c>
      <c r="F475" s="105">
        <v>3808.1</v>
      </c>
      <c r="G475" s="106">
        <v>3893450000</v>
      </c>
      <c r="H475" s="107">
        <f t="shared" si="7"/>
        <v>-1.1645561735492332E-2</v>
      </c>
    </row>
    <row r="476" spans="1:8" ht="15">
      <c r="A476" s="109">
        <v>44930</v>
      </c>
      <c r="B476" s="105">
        <v>3840.36</v>
      </c>
      <c r="C476" s="105">
        <v>3873.16</v>
      </c>
      <c r="D476" s="105">
        <v>3815.77</v>
      </c>
      <c r="E476" s="105">
        <v>3852.97</v>
      </c>
      <c r="F476" s="105">
        <v>3852.97</v>
      </c>
      <c r="G476" s="106">
        <v>4414080000</v>
      </c>
      <c r="H476" s="107">
        <f t="shared" si="7"/>
        <v>7.5389499338413156E-3</v>
      </c>
    </row>
    <row r="477" spans="1:8" ht="15">
      <c r="A477" s="109">
        <v>44929</v>
      </c>
      <c r="B477" s="105">
        <v>3853.29</v>
      </c>
      <c r="C477" s="105">
        <v>3878.46</v>
      </c>
      <c r="D477" s="105">
        <v>3794.33</v>
      </c>
      <c r="E477" s="105">
        <v>3824.14</v>
      </c>
      <c r="F477" s="105">
        <v>3824.14</v>
      </c>
      <c r="G477" s="106">
        <v>3959140000</v>
      </c>
      <c r="H477" s="107">
        <f t="shared" si="7"/>
        <v>-4.0005209011590385E-3</v>
      </c>
    </row>
    <row r="478" spans="1:8" ht="15">
      <c r="A478" s="109">
        <v>44925</v>
      </c>
      <c r="B478" s="105">
        <v>3829.06</v>
      </c>
      <c r="C478" s="105">
        <v>3839.85</v>
      </c>
      <c r="D478" s="105">
        <v>3800.34</v>
      </c>
      <c r="E478" s="105">
        <v>3839.5</v>
      </c>
      <c r="F478" s="105">
        <v>3839.5</v>
      </c>
      <c r="G478" s="106">
        <v>2979870000</v>
      </c>
      <c r="H478" s="107">
        <f t="shared" si="7"/>
        <v>-2.5407348906809064E-3</v>
      </c>
    </row>
    <row r="479" spans="1:8" ht="15">
      <c r="A479" s="109">
        <v>44924</v>
      </c>
      <c r="B479" s="105">
        <v>3805.45</v>
      </c>
      <c r="C479" s="105">
        <v>3858.19</v>
      </c>
      <c r="D479" s="105">
        <v>3805.45</v>
      </c>
      <c r="E479" s="105">
        <v>3849.28</v>
      </c>
      <c r="F479" s="105">
        <v>3849.28</v>
      </c>
      <c r="G479" s="106">
        <v>3003680000</v>
      </c>
      <c r="H479" s="107">
        <f t="shared" si="7"/>
        <v>1.7461316021801641E-2</v>
      </c>
    </row>
    <row r="480" spans="1:8" ht="15">
      <c r="A480" s="109">
        <v>44923</v>
      </c>
      <c r="B480" s="105">
        <v>3829.56</v>
      </c>
      <c r="C480" s="105">
        <v>3848.32</v>
      </c>
      <c r="D480" s="105">
        <v>3780.78</v>
      </c>
      <c r="E480" s="105">
        <v>3783.22</v>
      </c>
      <c r="F480" s="105">
        <v>3783.22</v>
      </c>
      <c r="G480" s="106">
        <v>3083520000</v>
      </c>
      <c r="H480" s="107">
        <f t="shared" si="7"/>
        <v>-1.2020630671802625E-2</v>
      </c>
    </row>
    <row r="481" spans="1:8" ht="15">
      <c r="A481" s="109">
        <v>44922</v>
      </c>
      <c r="B481" s="105">
        <v>3843.34</v>
      </c>
      <c r="C481" s="105">
        <v>3846.65</v>
      </c>
      <c r="D481" s="105">
        <v>3813.22</v>
      </c>
      <c r="E481" s="105">
        <v>3829.25</v>
      </c>
      <c r="F481" s="105">
        <v>3829.25</v>
      </c>
      <c r="G481" s="106">
        <v>3030300000</v>
      </c>
      <c r="H481" s="107">
        <f t="shared" si="7"/>
        <v>-4.0496044028069354E-3</v>
      </c>
    </row>
    <row r="482" spans="1:8" ht="15">
      <c r="A482" s="109">
        <v>44918</v>
      </c>
      <c r="B482" s="105">
        <v>3815.11</v>
      </c>
      <c r="C482" s="105">
        <v>3845.8</v>
      </c>
      <c r="D482" s="105">
        <v>3797.01</v>
      </c>
      <c r="E482" s="105">
        <v>3844.82</v>
      </c>
      <c r="F482" s="105">
        <v>3844.82</v>
      </c>
      <c r="G482" s="106">
        <v>2819280000</v>
      </c>
      <c r="H482" s="107">
        <f t="shared" si="7"/>
        <v>5.8680563731069542E-3</v>
      </c>
    </row>
    <row r="483" spans="1:8" ht="15">
      <c r="A483" s="109">
        <v>44917</v>
      </c>
      <c r="B483" s="105">
        <v>3853.26</v>
      </c>
      <c r="C483" s="105">
        <v>3853.26</v>
      </c>
      <c r="D483" s="105">
        <v>3764.49</v>
      </c>
      <c r="E483" s="105">
        <v>3822.39</v>
      </c>
      <c r="F483" s="105">
        <v>3822.39</v>
      </c>
      <c r="G483" s="106">
        <v>3956950000</v>
      </c>
      <c r="H483" s="107">
        <f t="shared" si="7"/>
        <v>-1.4451686760656394E-2</v>
      </c>
    </row>
    <row r="484" spans="1:8" ht="15">
      <c r="A484" s="109">
        <v>44916</v>
      </c>
      <c r="B484" s="105">
        <v>3839.49</v>
      </c>
      <c r="C484" s="105">
        <v>3889.82</v>
      </c>
      <c r="D484" s="105">
        <v>3839.49</v>
      </c>
      <c r="E484" s="105">
        <v>3878.44</v>
      </c>
      <c r="F484" s="105">
        <v>3878.44</v>
      </c>
      <c r="G484" s="106">
        <v>3775200000</v>
      </c>
      <c r="H484" s="107">
        <f t="shared" si="7"/>
        <v>1.4868040255179784E-2</v>
      </c>
    </row>
    <row r="485" spans="1:8" ht="15">
      <c r="A485" s="109">
        <v>44915</v>
      </c>
      <c r="B485" s="105">
        <v>3810.47</v>
      </c>
      <c r="C485" s="105">
        <v>3838.24</v>
      </c>
      <c r="D485" s="105">
        <v>3795.62</v>
      </c>
      <c r="E485" s="105">
        <v>3821.62</v>
      </c>
      <c r="F485" s="105">
        <v>3821.62</v>
      </c>
      <c r="G485" s="106">
        <v>3985370000</v>
      </c>
      <c r="H485" s="107">
        <f t="shared" si="7"/>
        <v>1.0372846193741811E-3</v>
      </c>
    </row>
    <row r="486" spans="1:8" ht="15">
      <c r="A486" s="109">
        <v>44914</v>
      </c>
      <c r="B486" s="105">
        <v>3853.79</v>
      </c>
      <c r="C486" s="105">
        <v>3854.86</v>
      </c>
      <c r="D486" s="105">
        <v>3800.04</v>
      </c>
      <c r="E486" s="105">
        <v>3817.66</v>
      </c>
      <c r="F486" s="105">
        <v>3817.66</v>
      </c>
      <c r="G486" s="106">
        <v>3969610000</v>
      </c>
      <c r="H486" s="107">
        <f t="shared" si="7"/>
        <v>-9.007465553582809E-3</v>
      </c>
    </row>
    <row r="487" spans="1:8" ht="15">
      <c r="A487" s="109">
        <v>44911</v>
      </c>
      <c r="B487" s="105">
        <v>3890.91</v>
      </c>
      <c r="C487" s="105">
        <v>3890.91</v>
      </c>
      <c r="D487" s="105">
        <v>3827.91</v>
      </c>
      <c r="E487" s="105">
        <v>3852.36</v>
      </c>
      <c r="F487" s="105">
        <v>3852.36</v>
      </c>
      <c r="G487" s="106">
        <v>7493660000</v>
      </c>
      <c r="H487" s="107">
        <f t="shared" si="7"/>
        <v>-1.1137778348199928E-2</v>
      </c>
    </row>
    <row r="488" spans="1:8" ht="15">
      <c r="A488" s="109">
        <v>44910</v>
      </c>
      <c r="B488" s="105">
        <v>3958.37</v>
      </c>
      <c r="C488" s="105">
        <v>3958.37</v>
      </c>
      <c r="D488" s="105">
        <v>3879.45</v>
      </c>
      <c r="E488" s="105">
        <v>3895.75</v>
      </c>
      <c r="F488" s="105">
        <v>3895.75</v>
      </c>
      <c r="G488" s="106">
        <v>4493900000</v>
      </c>
      <c r="H488" s="107">
        <f t="shared" si="7"/>
        <v>-2.492165834025814E-2</v>
      </c>
    </row>
    <row r="489" spans="1:8" ht="15">
      <c r="A489" s="109">
        <v>44909</v>
      </c>
      <c r="B489" s="105">
        <v>4015.54</v>
      </c>
      <c r="C489" s="105">
        <v>4053.76</v>
      </c>
      <c r="D489" s="105">
        <v>3965.65</v>
      </c>
      <c r="E489" s="105">
        <v>3995.32</v>
      </c>
      <c r="F489" s="105">
        <v>3995.32</v>
      </c>
      <c r="G489" s="106">
        <v>4472340000</v>
      </c>
      <c r="H489" s="107">
        <f t="shared" si="7"/>
        <v>-6.052765788066107E-3</v>
      </c>
    </row>
    <row r="490" spans="1:8" ht="15">
      <c r="A490" s="109">
        <v>44908</v>
      </c>
      <c r="B490" s="105">
        <v>4069.38</v>
      </c>
      <c r="C490" s="105">
        <v>4100.96</v>
      </c>
      <c r="D490" s="105">
        <v>3993.03</v>
      </c>
      <c r="E490" s="105">
        <v>4019.65</v>
      </c>
      <c r="F490" s="105">
        <v>4019.65</v>
      </c>
      <c r="G490" s="106">
        <v>5079360000</v>
      </c>
      <c r="H490" s="107">
        <f t="shared" si="7"/>
        <v>7.2897037007337686E-3</v>
      </c>
    </row>
    <row r="491" spans="1:8" ht="15">
      <c r="A491" s="109">
        <v>44907</v>
      </c>
      <c r="B491" s="105">
        <v>3939.29</v>
      </c>
      <c r="C491" s="105">
        <v>3990.71</v>
      </c>
      <c r="D491" s="105">
        <v>3935.3</v>
      </c>
      <c r="E491" s="105">
        <v>3990.56</v>
      </c>
      <c r="F491" s="105">
        <v>3990.56</v>
      </c>
      <c r="G491" s="106">
        <v>3904130000</v>
      </c>
      <c r="H491" s="107">
        <f t="shared" si="7"/>
        <v>1.4279251114533887E-2</v>
      </c>
    </row>
    <row r="492" spans="1:8" ht="15">
      <c r="A492" s="109">
        <v>44904</v>
      </c>
      <c r="B492" s="105">
        <v>3954.17</v>
      </c>
      <c r="C492" s="105">
        <v>3977.02</v>
      </c>
      <c r="D492" s="105">
        <v>3933.04</v>
      </c>
      <c r="E492" s="105">
        <v>3934.38</v>
      </c>
      <c r="F492" s="105">
        <v>3934.38</v>
      </c>
      <c r="G492" s="106">
        <v>3888260000</v>
      </c>
      <c r="H492" s="107">
        <f t="shared" si="7"/>
        <v>-7.349546235533683E-3</v>
      </c>
    </row>
    <row r="493" spans="1:8" ht="15">
      <c r="A493" s="109">
        <v>44903</v>
      </c>
      <c r="B493" s="105">
        <v>3947.79</v>
      </c>
      <c r="C493" s="105">
        <v>3974.19</v>
      </c>
      <c r="D493" s="105">
        <v>3935.83</v>
      </c>
      <c r="E493" s="105">
        <v>3963.51</v>
      </c>
      <c r="F493" s="105">
        <v>3963.51</v>
      </c>
      <c r="G493" s="106">
        <v>4006900000</v>
      </c>
      <c r="H493" s="107">
        <f t="shared" si="7"/>
        <v>7.5217594663847115E-3</v>
      </c>
    </row>
    <row r="494" spans="1:8" ht="15">
      <c r="A494" s="109">
        <v>44902</v>
      </c>
      <c r="B494" s="105">
        <v>3933.28</v>
      </c>
      <c r="C494" s="105">
        <v>3957.57</v>
      </c>
      <c r="D494" s="105">
        <v>3922.68</v>
      </c>
      <c r="E494" s="105">
        <v>3933.92</v>
      </c>
      <c r="F494" s="105">
        <v>3933.92</v>
      </c>
      <c r="G494" s="106">
        <v>4118050000</v>
      </c>
      <c r="H494" s="107">
        <f t="shared" si="7"/>
        <v>-1.8623485890299409E-3</v>
      </c>
    </row>
    <row r="495" spans="1:8" ht="15">
      <c r="A495" s="109">
        <v>44901</v>
      </c>
      <c r="B495" s="105">
        <v>3996.63</v>
      </c>
      <c r="C495" s="105">
        <v>4001.51</v>
      </c>
      <c r="D495" s="105">
        <v>3918.39</v>
      </c>
      <c r="E495" s="105">
        <v>3941.26</v>
      </c>
      <c r="F495" s="105">
        <v>3941.26</v>
      </c>
      <c r="G495" s="106">
        <v>4368380000</v>
      </c>
      <c r="H495" s="107">
        <f t="shared" si="7"/>
        <v>-1.4399175760970663E-2</v>
      </c>
    </row>
    <row r="496" spans="1:8" ht="15">
      <c r="A496" s="109">
        <v>44900</v>
      </c>
      <c r="B496" s="105">
        <v>4052.02</v>
      </c>
      <c r="C496" s="105">
        <v>4052.45</v>
      </c>
      <c r="D496" s="105">
        <v>3984.49</v>
      </c>
      <c r="E496" s="105">
        <v>3998.84</v>
      </c>
      <c r="F496" s="105">
        <v>3998.84</v>
      </c>
      <c r="G496" s="106">
        <v>4280820000</v>
      </c>
      <c r="H496" s="107">
        <f t="shared" si="7"/>
        <v>-1.7894245646781364E-2</v>
      </c>
    </row>
    <row r="497" spans="1:8" ht="15">
      <c r="A497" s="109">
        <v>44897</v>
      </c>
      <c r="B497" s="105">
        <v>4040.17</v>
      </c>
      <c r="C497" s="105">
        <v>4080.48</v>
      </c>
      <c r="D497" s="105">
        <v>4026.63</v>
      </c>
      <c r="E497" s="105">
        <v>4071.7</v>
      </c>
      <c r="F497" s="105">
        <v>4071.7</v>
      </c>
      <c r="G497" s="106">
        <v>4012620000</v>
      </c>
      <c r="H497" s="107">
        <f t="shared" si="7"/>
        <v>-1.1946317615054679E-3</v>
      </c>
    </row>
    <row r="498" spans="1:8" ht="15">
      <c r="A498" s="109">
        <v>44896</v>
      </c>
      <c r="B498" s="105">
        <v>4087.14</v>
      </c>
      <c r="C498" s="105">
        <v>4100.51</v>
      </c>
      <c r="D498" s="105">
        <v>4050.87</v>
      </c>
      <c r="E498" s="105">
        <v>4076.57</v>
      </c>
      <c r="F498" s="105">
        <v>4076.57</v>
      </c>
      <c r="G498" s="106">
        <v>4527130000</v>
      </c>
      <c r="H498" s="107">
        <f t="shared" si="7"/>
        <v>-8.6762366700896877E-4</v>
      </c>
    </row>
    <row r="499" spans="1:8" ht="15">
      <c r="A499" s="109">
        <v>44895</v>
      </c>
      <c r="B499" s="105">
        <v>3957.18</v>
      </c>
      <c r="C499" s="105">
        <v>4080.11</v>
      </c>
      <c r="D499" s="105">
        <v>3938.58</v>
      </c>
      <c r="E499" s="105">
        <v>4080.11</v>
      </c>
      <c r="F499" s="105">
        <v>4080.11</v>
      </c>
      <c r="G499" s="106">
        <v>6579360000</v>
      </c>
      <c r="H499" s="107">
        <f t="shared" si="7"/>
        <v>3.094781472750106E-2</v>
      </c>
    </row>
    <row r="500" spans="1:8" ht="15">
      <c r="A500" s="109">
        <v>44894</v>
      </c>
      <c r="B500" s="105">
        <v>3964.19</v>
      </c>
      <c r="C500" s="105">
        <v>3976.77</v>
      </c>
      <c r="D500" s="105">
        <v>3937.65</v>
      </c>
      <c r="E500" s="105">
        <v>3957.63</v>
      </c>
      <c r="F500" s="105">
        <v>3957.63</v>
      </c>
      <c r="G500" s="106">
        <v>3546040000</v>
      </c>
      <c r="H500" s="107">
        <f t="shared" si="7"/>
        <v>-1.5918505325509329E-3</v>
      </c>
    </row>
    <row r="501" spans="1:8" ht="15">
      <c r="A501" s="109">
        <v>44893</v>
      </c>
      <c r="B501" s="105">
        <v>4005.36</v>
      </c>
      <c r="C501" s="105">
        <v>4012.27</v>
      </c>
      <c r="D501" s="105">
        <v>3955.77</v>
      </c>
      <c r="E501" s="105">
        <v>3963.94</v>
      </c>
      <c r="F501" s="105">
        <v>3963.94</v>
      </c>
      <c r="G501" s="106">
        <v>3615430000</v>
      </c>
      <c r="H501" s="107">
        <f t="shared" si="7"/>
        <v>-1.5444149702443007E-2</v>
      </c>
    </row>
    <row r="502" spans="1:8" ht="15">
      <c r="A502" s="109">
        <v>44890</v>
      </c>
      <c r="B502" s="105">
        <v>4023.34</v>
      </c>
      <c r="C502" s="105">
        <v>4034.02</v>
      </c>
      <c r="D502" s="105">
        <v>4020.76</v>
      </c>
      <c r="E502" s="105">
        <v>4026.12</v>
      </c>
      <c r="F502" s="105">
        <v>4026.12</v>
      </c>
      <c r="G502" s="106">
        <v>1706460000</v>
      </c>
      <c r="H502" s="107">
        <f t="shared" si="7"/>
        <v>-2.8307087200735176E-4</v>
      </c>
    </row>
    <row r="503" spans="1:8" ht="15">
      <c r="A503" s="109">
        <v>44888</v>
      </c>
      <c r="B503" s="105">
        <v>4000.3</v>
      </c>
      <c r="C503" s="105">
        <v>4033.78</v>
      </c>
      <c r="D503" s="105">
        <v>3998.66</v>
      </c>
      <c r="E503" s="105">
        <v>4027.26</v>
      </c>
      <c r="F503" s="105">
        <v>4027.26</v>
      </c>
      <c r="G503" s="106">
        <v>3279720000</v>
      </c>
      <c r="H503" s="107">
        <f t="shared" si="7"/>
        <v>5.9147063378277168E-3</v>
      </c>
    </row>
    <row r="504" spans="1:8" ht="15">
      <c r="A504" s="109">
        <v>44887</v>
      </c>
      <c r="B504" s="105">
        <v>3965.51</v>
      </c>
      <c r="C504" s="105">
        <v>4005.88</v>
      </c>
      <c r="D504" s="105">
        <v>3956.88</v>
      </c>
      <c r="E504" s="105">
        <v>4003.58</v>
      </c>
      <c r="F504" s="105">
        <v>4003.58</v>
      </c>
      <c r="G504" s="106">
        <v>3887990000</v>
      </c>
      <c r="H504" s="107">
        <f t="shared" si="7"/>
        <v>1.3579953113211814E-2</v>
      </c>
    </row>
    <row r="505" spans="1:8" ht="15">
      <c r="A505" s="109">
        <v>44886</v>
      </c>
      <c r="B505" s="105">
        <v>3956.23</v>
      </c>
      <c r="C505" s="105">
        <v>3962</v>
      </c>
      <c r="D505" s="105">
        <v>3933.34</v>
      </c>
      <c r="E505" s="105">
        <v>3949.94</v>
      </c>
      <c r="F505" s="105">
        <v>3949.94</v>
      </c>
      <c r="G505" s="106">
        <v>3850690000</v>
      </c>
      <c r="H505" s="107" t="e">
        <f t="shared" si="7"/>
        <v>#DIV/0!</v>
      </c>
    </row>
  </sheetData>
  <sortState xmlns:xlrd2="http://schemas.microsoft.com/office/spreadsheetml/2017/richdata2" ref="A2:H494">
    <sortCondition descending="1" ref="A2:A49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EFBBE7-067D-4844-8DC9-6BFCFD0FB80D}"/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Flynn, Matthew J</dc:creator>
  <cp:keywords/>
  <dc:description/>
  <cp:lastModifiedBy/>
  <cp:revision/>
  <dcterms:created xsi:type="dcterms:W3CDTF">2024-09-03T15:53:34Z</dcterms:created>
  <dcterms:modified xsi:type="dcterms:W3CDTF">2026-06-23T23:48:55Z</dcterms:modified>
  <cp:category/>
  <cp:contentStatus/>
</cp:coreProperties>
</file>